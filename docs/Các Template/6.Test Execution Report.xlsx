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vsguedu-my.sharepoint.com/personal/3122411009_sv_sgu_edu_vn/Documents/"/>
    </mc:Choice>
  </mc:AlternateContent>
  <xr:revisionPtr revIDLastSave="0" documentId="8_{FB8172FE-9A06-4956-8445-2B3106BC54D8}" xr6:coauthVersionLast="47" xr6:coauthVersionMax="47" xr10:uidLastSave="{00000000-0000-0000-0000-000000000000}"/>
  <bookViews>
    <workbookView xWindow="-110" yWindow="-110" windowWidth="19420" windowHeight="10300" tabRatio="943" firstSheet="5" activeTab="5" xr2:uid="{00000000-000D-0000-FFFF-FFFF00000000}"/>
  </bookViews>
  <sheets>
    <sheet name="Cover" sheetId="1" r:id="rId1"/>
    <sheet name="Tailoring " sheetId="4" state="veryHidden" r:id="rId2"/>
    <sheet name="Test Execution Report" sheetId="2" r:id="rId3"/>
    <sheet name="Automation_Execution_Report" sheetId="5" r:id="rId4"/>
    <sheet name="Manual_Test_Results" sheetId="6" r:id="rId5"/>
    <sheet name="Defect_and_Risk_Report" sheetId="7" r:id="rId6"/>
    <sheet name="Doc Control" sheetId="3" r:id="rId7"/>
  </sheets>
  <externalReferences>
    <externalReference r:id="rId8"/>
  </externalReferences>
  <definedNames>
    <definedName name="Action_Handler">#REF!</definedName>
    <definedName name="CHARTINFO">#REF!</definedName>
    <definedName name="Days">#REF!</definedName>
    <definedName name="Deliverables">#REF!</definedName>
    <definedName name="Developers">#REF!</definedName>
    <definedName name="DONE_DEL">#REF!</definedName>
    <definedName name="Interfaces">#REF!</definedName>
    <definedName name="JSP">#REF!</definedName>
    <definedName name="LOOP_DEL">#REF!</definedName>
    <definedName name="Object_Code">#REF!</definedName>
    <definedName name="Parameters">'[1]Project Metrics'!#REF!</definedName>
    <definedName name="Reviews">#REF!</definedName>
    <definedName name="Subsystems">#REF!</definedName>
    <definedName name="Test_levels">#REF!</definedName>
    <definedName name="Test_types">#REF!</definedName>
    <definedName name="Use_Cases">#REF!</definedName>
    <definedName name="View_Bean">#REF!</definedName>
    <definedName name="Weeks">#REF!</definedName>
    <definedName name="Z_7B2F5709_CBD6_4AC0_9610_32773BF5DEF0_.wvu.Cols" localSheetId="0" hidden="1">Cover!#REF!</definedName>
    <definedName name="Z_7B2F5709_CBD6_4AC0_9610_32773BF5DEF0_.wvu.PrintTitles" localSheetId="0" hidden="1">Cover!#REF!,Cover!#REF!</definedName>
    <definedName name="Z_7B2F5709_CBD6_4AC0_9610_32773BF5DEF0_.wvu.Rows" localSheetId="0" hidden="1">Cover!#REF!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H5" i="2"/>
  <c r="A51" i="4"/>
  <c r="A50" i="4"/>
  <c r="A49" i="4"/>
  <c r="A48" i="4"/>
  <c r="A47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H7" i="2"/>
  <c r="H6" i="2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IBM_USER</author>
  </authors>
  <commentList>
    <comment ref="C4" authorId="0" shapeId="0" xr:uid="{00000000-0006-0000-0100-000001000000}">
      <text>
        <r>
          <rPr>
            <sz val="12"/>
            <rFont val="Arial"/>
          </rPr>
          <t>Required status: Passed / Failed</t>
        </r>
      </text>
    </comment>
  </commentList>
</comments>
</file>

<file path=xl/sharedStrings.xml><?xml version="1.0" encoding="utf-8"?>
<sst xmlns="http://schemas.openxmlformats.org/spreadsheetml/2006/main" count="1587" uniqueCount="709">
  <si>
    <t>Test Execution Report</t>
  </si>
  <si>
    <t>Project</t>
  </si>
  <si>
    <t>MERN Store</t>
  </si>
  <si>
    <t>Program / Division</t>
  </si>
  <si>
    <t>Internal QA / Ecommerce</t>
  </si>
  <si>
    <t>Build Version</t>
  </si>
  <si>
    <t>v1.0.0 (server automation)</t>
  </si>
  <si>
    <t>Author / Technical Owner</t>
  </si>
  <si>
    <t>QA: Vo Kieu Anh; Pham Nguyen Minh Chau; Dang Nguyen Tam Nhu</t>
  </si>
  <si>
    <t>Approval Status</t>
  </si>
  <si>
    <t>Draft - Internal QA</t>
  </si>
  <si>
    <t>Reporting Date</t>
  </si>
  <si>
    <t>Location</t>
  </si>
  <si>
    <t>Local (Windows, NODE_ENV=test)</t>
  </si>
  <si>
    <t>Usage Note: 
The Testing Team will generate at least one Test Execution for each Build
This template will not be used if there is a test execution management software replaces</t>
  </si>
  <si>
    <t xml:space="preserve">Template Used: </t>
  </si>
  <si>
    <t>Test Execution Report 1.0</t>
  </si>
  <si>
    <t>For more information</t>
  </si>
  <si>
    <t>IBM contact</t>
  </si>
  <si>
    <t>Customer contact</t>
  </si>
  <si>
    <t>Name</t>
  </si>
  <si>
    <t>Title</t>
  </si>
  <si>
    <t>IBM address line 1</t>
  </si>
  <si>
    <t>Customer address line 1</t>
  </si>
  <si>
    <t>IBM address line 2</t>
  </si>
  <si>
    <t>Customer address line 2</t>
  </si>
  <si>
    <t>Telephone</t>
  </si>
  <si>
    <t>Fax</t>
  </si>
  <si>
    <t>E-mail</t>
  </si>
  <si>
    <t>Tailoring</t>
  </si>
  <si>
    <t>Use this Tab to change standard criteria defaults and overall score defaults</t>
  </si>
  <si>
    <t xml:space="preserve">Standard Criteria </t>
  </si>
  <si>
    <t>Small</t>
  </si>
  <si>
    <t>Large</t>
  </si>
  <si>
    <t>No</t>
  </si>
  <si>
    <t>Yes</t>
  </si>
  <si>
    <t>Overall Score Reduction</t>
  </si>
  <si>
    <t>Severity</t>
  </si>
  <si>
    <t>Threshold (Number of items that trigger an overall score reduction)</t>
  </si>
  <si>
    <t>If number of items by severity in review log is equal of greater than threshold, overall score will be reduced by</t>
  </si>
  <si>
    <t>Associated Risk Assessment+Print_Area</t>
  </si>
  <si>
    <t>Red</t>
  </si>
  <si>
    <t>Yellow</t>
  </si>
  <si>
    <t>Green</t>
  </si>
  <si>
    <t>Last update:</t>
  </si>
  <si>
    <t>Test Cases</t>
  </si>
  <si>
    <t>Execution Result</t>
  </si>
  <si>
    <t>Defect Refefence</t>
  </si>
  <si>
    <t>Remarks</t>
  </si>
  <si>
    <t>Passed</t>
  </si>
  <si>
    <t>QRY-001 - add price and rating filters</t>
  </si>
  <si>
    <t>Queries pipeline adds price/rating when provided</t>
  </si>
  <si>
    <t>Failed</t>
  </si>
  <si>
    <t>QRY-002 - default active products</t>
  </si>
  <si>
    <t>Filters default to active products when missing</t>
  </si>
  <si>
    <t>Not Run</t>
  </si>
  <si>
    <t>QRY-003 - wishlist lookup pipeline</t>
  </si>
  <si>
    <t>Lookup filters by user wishlist</t>
  </si>
  <si>
    <t>Blocked</t>
  </si>
  <si>
    <t>QRY-004 - standard filters snapshot</t>
  </si>
  <si>
    <t>Snapshot lock for standard filters</t>
  </si>
  <si>
    <t>Total executed TC / Total TC</t>
  </si>
  <si>
    <t>QRY-005 - min&gt;max and rating 0 handled</t>
  </si>
  <si>
    <t>Edge inputs do not crash pipeline</t>
  </si>
  <si>
    <t>QRY-006 - wishlist pipeline snapshot</t>
  </si>
  <si>
    <t>Snapshot for wishlist pipeline</t>
  </si>
  <si>
    <t>QRY-007 - invalid ObjectId throws</t>
  </si>
  <si>
    <t>Invalid ObjectId surfaces error</t>
  </si>
  <si>
    <t>SRCH-001 - products returned when matching</t>
  </si>
  <si>
    <t>Search returns results on match</t>
  </si>
  <si>
    <t>SRCH-002 - 404 when nothing matches</t>
  </si>
  <si>
    <t>Search returns 404 on no match</t>
  </si>
  <si>
    <t>SRCH-003 - 400 when find throws</t>
  </si>
  <si>
    <t>Search bubbles DB error</t>
  </si>
  <si>
    <t>PROD-001 - item/:slug returns payload</t>
  </si>
  <si>
    <t>Product + brand active returns data</t>
  </si>
  <si>
    <t>PROD-002 - brand inactive returns 404</t>
  </si>
  <si>
    <t>Brand inactive yields 404</t>
  </si>
  <si>
    <t>PROD-003 - list filters &amp; paginate</t>
  </si>
  <si>
    <t>Listing applies filters + wishlist + paging</t>
  </si>
  <si>
    <t>PROD-004 - featured list for guest</t>
  </si>
  <si>
    <t>Featured returns guest list</t>
  </si>
  <si>
    <t>PROD-005 - popular respects filters</t>
  </si>
  <si>
    <t>Popular list honors rating/min/max</t>
  </si>
  <si>
    <t>PROD-006 - list/select minimal names</t>
  </si>
  <si>
    <t>list/select guarded and minimal</t>
  </si>
  <si>
    <t>CART-PERM-001 - reject missing user</t>
  </si>
  <si>
    <t>ensurePurchaser blocks missing user</t>
  </si>
  <si>
    <t>CART-PERM-002 - reject admin accounts</t>
  </si>
  <si>
    <t>ensurePurchaser blocks admin</t>
  </si>
  <si>
    <t>CART-PERM-003 - allow member shopper</t>
  </si>
  <si>
    <t>Member shopper allowed</t>
  </si>
  <si>
    <t>CART-PERM-004 - empty user unauthorized</t>
  </si>
  <si>
    <t>Empty user blocked</t>
  </si>
  <si>
    <t>CART-PERM-005 - random roles allowed</t>
  </si>
  <si>
    <t>Non-admin roles allowed</t>
  </si>
  <si>
    <t>CART-PERM-006 - reject falsy user.role</t>
  </si>
  <si>
    <t>Falsy user.role rejected</t>
  </si>
  <si>
    <t>CART-PERM-007 - reject explicit admin</t>
  </si>
  <si>
    <t>Explicit admin blocked</t>
  </si>
  <si>
    <t>CART-API-001 - unauthenticated rejected</t>
  </si>
  <si>
    <t>Cart API blocks missing token</t>
  </si>
  <si>
    <t>CART-API-002 - admin create cart blocked</t>
  </si>
  <si>
    <t>Admin cannot create cart</t>
  </si>
  <si>
    <t>CART-API-003 - create cart for member</t>
  </si>
  <si>
    <t>Member can create cart</t>
  </si>
  <si>
    <t>CART-API-004 - add product to cart</t>
  </si>
  <si>
    <t>Adds product to existing cart</t>
  </si>
  <si>
    <t>CART-API-005 - delete entire cart</t>
  </si>
  <si>
    <t>Delete cart works</t>
  </si>
  <si>
    <t>CART-API-006 - delete product from cart</t>
  </si>
  <si>
    <t>Delete product works</t>
  </si>
  <si>
    <t>AUTH-MW-001 - 401 when user missing</t>
  </si>
  <si>
    <t>Role check returns 401 without user</t>
  </si>
  <si>
    <t>AUTH-MW-002 - 403 on role mismatch</t>
  </si>
  <si>
    <t>Role mismatch returns 403</t>
  </si>
  <si>
    <t>AUTH-MW-003 - pass through when allowed</t>
  </si>
  <si>
    <t>Allowed role passes</t>
  </si>
  <si>
    <t>AUTH-MW-004 - undefined role handled</t>
  </si>
  <si>
    <t>Undefined role handled</t>
  </si>
  <si>
    <t>AUTH-MW-005 - allow custom allowed role</t>
  </si>
  <si>
    <t>Custom allowed role permitted</t>
  </si>
  <si>
    <t>AUTH-ACC-001 - reject missing user</t>
  </si>
  <si>
    <t>Admin access blocks missing user</t>
  </si>
  <si>
    <t>AUTH-ACC-002 - reject non admin</t>
  </si>
  <si>
    <t>Admin access blocks non-admin</t>
  </si>
  <si>
    <t>AUTH-ACC-003 - allow admin user</t>
  </si>
  <si>
    <t>Admin access allows admin</t>
  </si>
  <si>
    <t>STORE-001 - calculates sales tax</t>
  </si>
  <si>
    <t>Sales tax per cart item</t>
  </si>
  <si>
    <t>STORE-002 - order total excludes cancelled</t>
  </si>
  <si>
    <t>Cancelled items excluded</t>
  </si>
  <si>
    <t>STORE-003 - order tax + totals update</t>
  </si>
  <si>
    <t>Tax amount updates totals</t>
  </si>
  <si>
    <t>STORE-004 - formatOrders normalizes</t>
  </si>
  <si>
    <t>formatOrders normalizes data</t>
  </si>
  <si>
    <t>STORE-005 - zero when all cancelled</t>
  </si>
  <si>
    <t>Totals zero when all cancelled</t>
  </si>
  <si>
    <t>STORE-006 - handle zero/negative inputs</t>
  </si>
  <si>
    <t>Zero/negative price qty tolerated</t>
  </si>
  <si>
    <t>STORE-007 - tolerate missing fields</t>
  </si>
  <si>
    <t>Missing fields tolerated</t>
  </si>
  <si>
    <t>STORE-008 - works if cart/products missing</t>
  </si>
  <si>
    <t>Handles missing cart/products</t>
  </si>
  <si>
    <t>STORE-009 - taxable undefined safe</t>
  </si>
  <si>
    <t>Taxable undefined does not throw</t>
  </si>
  <si>
    <t>STORE-010 - fuzz avoids NaN</t>
  </si>
  <si>
    <t>Fuzz inputs avoid NaN</t>
  </si>
  <si>
    <t>ORDER-API-001 - reject unauth requests</t>
  </si>
  <si>
    <t>Order API blocks unauthenticated</t>
  </si>
  <si>
    <t>ORDER-API-002 - reject admin placing order</t>
  </si>
  <si>
    <t>Admin cannot place orders</t>
  </si>
  <si>
    <t>ORDER-API-003 - cartId missing fails</t>
  </si>
  <si>
    <t>Missing cartId returns error</t>
  </si>
  <si>
    <t>ORDER-API-004 - incomplete shipping fails</t>
  </si>
  <si>
    <t>Missing shipping returns error</t>
  </si>
  <si>
    <t>ORDER-API-005 - create order for member</t>
  </si>
  <si>
    <t>Member order created</t>
  </si>
  <si>
    <t>ORDER-API-006 - search invalid id returns []</t>
  </si>
  <si>
    <t>Invalid id returns empty</t>
  </si>
  <si>
    <t>ORDER-API-007 - admin search sanitized</t>
  </si>
  <si>
    <t>Admin search sanitized results</t>
  </si>
  <si>
    <t>ORDER-API-008 - /me paginates/format</t>
  </si>
  <si>
    <t>Order /me paginates</t>
  </si>
  <si>
    <t>ORDER-API-009 - detail normalized</t>
  </si>
  <si>
    <t>Order detail normalized</t>
  </si>
  <si>
    <t>ORDER-API-010 - complete marks delivered</t>
  </si>
  <si>
    <t>Complete marks delivered</t>
  </si>
  <si>
    <t>ORDER-API-011 - cancel cascades</t>
  </si>
  <si>
    <t>Cancel item cancels order when all cancelled</t>
  </si>
  <si>
    <t>MAN-SRCH-01 - Search UI case-insensitive</t>
  </si>
  <si>
    <t>UI search ignores case</t>
  </si>
  <si>
    <t>MAN-SRCH-02 - Search special chars</t>
  </si>
  <si>
    <t>Handles + without crash</t>
  </si>
  <si>
    <t>MAN-PROD-01 - Product detail (slug)</t>
  </si>
  <si>
    <t>Brand inactive -&gt; 404</t>
  </si>
  <si>
    <t>MAN-PROD-02 - Listing + filters</t>
  </si>
  <si>
    <t>Filters + pagination OK</t>
  </si>
  <si>
    <t>MAN-WL-01 - Wishlist toggle</t>
  </si>
  <si>
    <t>API keeps wishlist state</t>
  </si>
  <si>
    <t>MAN-CART-01 - Add to cart</t>
  </si>
  <si>
    <t>Qty and totals update</t>
  </si>
  <si>
    <t>MAN-CART-02 - Remove item</t>
  </si>
  <si>
    <t>Removing item updates total</t>
  </si>
  <si>
    <t>MAN-CART-03 - Qty to zero</t>
  </si>
  <si>
    <t>Qty zero treated as remove</t>
  </si>
  <si>
    <t>MAN-CKO-01 - Checkout happy path</t>
  </si>
  <si>
    <t>Order created</t>
  </si>
  <si>
    <t>MAN-CKO-02 - Checkout missing shipping</t>
  </si>
  <si>
    <t>Shows validation error</t>
  </si>
  <si>
    <t>MAN-ORD-01 - My Orders paging</t>
  </si>
  <si>
    <t>Pagination + status ok</t>
  </si>
  <si>
    <t>MAN-ORD-02 - Cancel item/order</t>
  </si>
  <si>
    <t>Cancel all -&gt; orderCancelled true</t>
  </si>
  <si>
    <t>MAN-ORD-03 - Complete order</t>
  </si>
  <si>
    <t>Blocks if pending items</t>
  </si>
  <si>
    <t>MAN-REV-01 - Review allowed</t>
  </si>
  <si>
    <t>Delivered/Completed can review</t>
  </si>
  <si>
    <t>MAN-REV-02 - Block early review</t>
  </si>
  <si>
    <t>Blocks review before delivered</t>
  </si>
  <si>
    <t>MAN-ADDR-01 - Address CRUD</t>
  </si>
  <si>
    <t>CRUD via API</t>
  </si>
  <si>
    <t>MAN-ADDR-SEC - Address security</t>
  </si>
  <si>
    <t>BUG-SEC-001</t>
  </si>
  <si>
    <t>Missing auth/owner checks on address APIs</t>
  </si>
  <si>
    <t>MAN-AUTH-01 - RBAC UI</t>
  </si>
  <si>
    <t>Member blocked from admin</t>
  </si>
  <si>
    <t>MAN-PROD-CRUD-ADM - Admin product CRUD</t>
  </si>
  <si>
    <t>Requires S3/mock setup</t>
  </si>
  <si>
    <t>MAN-MER-01 - Merchant application</t>
  </si>
  <si>
    <t>Submit application ok</t>
  </si>
  <si>
    <t>Test Cases ID</t>
  </si>
  <si>
    <t>Test Case Description</t>
  </si>
  <si>
    <t>Test Level</t>
  </si>
  <si>
    <t>Defect Reference</t>
  </si>
  <si>
    <t>QRY-001</t>
  </si>
  <si>
    <t>add price and rating filters</t>
  </si>
  <si>
    <t>Unit</t>
  </si>
  <si>
    <t>QRY-002</t>
  </si>
  <si>
    <t>default active products</t>
  </si>
  <si>
    <t>QRY-003</t>
  </si>
  <si>
    <t>wishlist lookup pipeline</t>
  </si>
  <si>
    <t>QRY-004</t>
  </si>
  <si>
    <t>standard filters snapshot</t>
  </si>
  <si>
    <t>QRY-005</t>
  </si>
  <si>
    <t>min&gt;max and rating 0 handled</t>
  </si>
  <si>
    <t>QRY-006</t>
  </si>
  <si>
    <t>wishlist pipeline snapshot</t>
  </si>
  <si>
    <t>QRY-007</t>
  </si>
  <si>
    <t>invalid ObjectId throws</t>
  </si>
  <si>
    <t>SRCH-001</t>
  </si>
  <si>
    <t>products returned when matching</t>
  </si>
  <si>
    <t>Integration</t>
  </si>
  <si>
    <t>SRCH-002</t>
  </si>
  <si>
    <t>404 when nothing matches</t>
  </si>
  <si>
    <t>SRCH-003</t>
  </si>
  <si>
    <t>400 when find throws</t>
  </si>
  <si>
    <t>PROD-001</t>
  </si>
  <si>
    <t>item/:slug returns payload</t>
  </si>
  <si>
    <t>PROD-002</t>
  </si>
  <si>
    <t>brand inactive returns 404</t>
  </si>
  <si>
    <t>PROD-003</t>
  </si>
  <si>
    <t>list filters &amp; paginate</t>
  </si>
  <si>
    <t>PROD-004</t>
  </si>
  <si>
    <t>featured list for guest</t>
  </si>
  <si>
    <t>PROD-005</t>
  </si>
  <si>
    <t>popular respects filters</t>
  </si>
  <si>
    <t>PROD-006</t>
  </si>
  <si>
    <t>list/select minimal names</t>
  </si>
  <si>
    <t>CART-PERM-001</t>
  </si>
  <si>
    <t>reject missing user</t>
  </si>
  <si>
    <t>CART-PERM-002</t>
  </si>
  <si>
    <t>reject admin accounts</t>
  </si>
  <si>
    <t>CART-PERM-003</t>
  </si>
  <si>
    <t>allow member shopper</t>
  </si>
  <si>
    <t>CART-PERM-004</t>
  </si>
  <si>
    <t>empty user unauthorized</t>
  </si>
  <si>
    <t>CART-PERM-005</t>
  </si>
  <si>
    <t>random roles allowed</t>
  </si>
  <si>
    <t>CART-PERM-006</t>
  </si>
  <si>
    <t>reject falsy user.role</t>
  </si>
  <si>
    <t>CART-PERM-007</t>
  </si>
  <si>
    <t>reject explicit admin</t>
  </si>
  <si>
    <t>CART-API-001</t>
  </si>
  <si>
    <t>unauthenticated rejected</t>
  </si>
  <si>
    <t>CART-API-002</t>
  </si>
  <si>
    <t>admin create cart blocked</t>
  </si>
  <si>
    <t>CART-API-003</t>
  </si>
  <si>
    <t>create cart for member</t>
  </si>
  <si>
    <t>CART-API-004</t>
  </si>
  <si>
    <t>add product to cart</t>
  </si>
  <si>
    <t>CART-API-005</t>
  </si>
  <si>
    <t>delete entire cart</t>
  </si>
  <si>
    <t>CART-API-006</t>
  </si>
  <si>
    <t>delete product from cart</t>
  </si>
  <si>
    <t>AUTH-MW-001</t>
  </si>
  <si>
    <t>401 when user missing</t>
  </si>
  <si>
    <t>AUTH-MW-002</t>
  </si>
  <si>
    <t>403 on role mismatch</t>
  </si>
  <si>
    <t>AUTH-MW-003</t>
  </si>
  <si>
    <t>pass through when allowed</t>
  </si>
  <si>
    <t>AUTH-MW-004</t>
  </si>
  <si>
    <t>undefined role handled</t>
  </si>
  <si>
    <t>AUTH-MW-005</t>
  </si>
  <si>
    <t>allow custom allowed role</t>
  </si>
  <si>
    <t>AUTH-ACC-001</t>
  </si>
  <si>
    <t>AUTH-ACC-002</t>
  </si>
  <si>
    <t>reject non admin</t>
  </si>
  <si>
    <t>AUTH-ACC-003</t>
  </si>
  <si>
    <t>allow admin user</t>
  </si>
  <si>
    <t>STORE-001</t>
  </si>
  <si>
    <t>calculates sales tax</t>
  </si>
  <si>
    <t>STORE-002</t>
  </si>
  <si>
    <t>order total excludes cancelled</t>
  </si>
  <si>
    <t>STORE-003</t>
  </si>
  <si>
    <t>order tax + totals update</t>
  </si>
  <si>
    <t>STORE-004</t>
  </si>
  <si>
    <t>formatOrders normalizes</t>
  </si>
  <si>
    <t>STORE-005</t>
  </si>
  <si>
    <t>zero when all cancelled</t>
  </si>
  <si>
    <t>STORE-006</t>
  </si>
  <si>
    <t>handle zero/negative inputs</t>
  </si>
  <si>
    <t>STORE-007</t>
  </si>
  <si>
    <t>tolerate missing fields</t>
  </si>
  <si>
    <t>STORE-008</t>
  </si>
  <si>
    <t>works if cart/products missing</t>
  </si>
  <si>
    <t>STORE-009</t>
  </si>
  <si>
    <t>taxable undefined safe</t>
  </si>
  <si>
    <t>STORE-010</t>
  </si>
  <si>
    <t>fuzz avoids NaN</t>
  </si>
  <si>
    <t>ORDER-API-001</t>
  </si>
  <si>
    <t>reject unauth requests</t>
  </si>
  <si>
    <t>ORDER-API-002</t>
  </si>
  <si>
    <t>reject admin placing order</t>
  </si>
  <si>
    <t>ORDER-API-003</t>
  </si>
  <si>
    <t>cartId missing fails</t>
  </si>
  <si>
    <t>ORDER-API-004</t>
  </si>
  <si>
    <t>incomplete shipping fails</t>
  </si>
  <si>
    <t>ORDER-API-005</t>
  </si>
  <si>
    <t>create order for member</t>
  </si>
  <si>
    <t>ORDER-API-006</t>
  </si>
  <si>
    <t>search invalid id returns []</t>
  </si>
  <si>
    <t>ORDER-API-007</t>
  </si>
  <si>
    <t>admin search sanitized</t>
  </si>
  <si>
    <t>ORDER-API-008</t>
  </si>
  <si>
    <t>/me paginates/format</t>
  </si>
  <si>
    <t>ORDER-API-009</t>
  </si>
  <si>
    <t>detail normalized</t>
  </si>
  <si>
    <t>ORDER-API-010</t>
  </si>
  <si>
    <t>complete marks delivered</t>
  </si>
  <si>
    <t>ORDER-API-011</t>
  </si>
  <si>
    <t>cancel cascades</t>
  </si>
  <si>
    <t>Test Case ID</t>
  </si>
  <si>
    <t>Requirement Ref</t>
  </si>
  <si>
    <t>Test Type</t>
  </si>
  <si>
    <t>Pre-condition</t>
  </si>
  <si>
    <t>Step No</t>
  </si>
  <si>
    <t>Test Step Description</t>
  </si>
  <si>
    <t>Post-condition</t>
  </si>
  <si>
    <t>Input Data</t>
  </si>
  <si>
    <t>Expected result</t>
  </si>
  <si>
    <t>Testing methods</t>
  </si>
  <si>
    <t>Product listing queries</t>
  </si>
  <si>
    <t>Functional</t>
  </si>
  <si>
    <t>Unit Test</t>
  </si>
  <si>
    <t>adds price and rating filters when provided</t>
  </si>
  <si>
    <t>Jest runs module with mocks/fakes loaded.</t>
  </si>
  <si>
    <t>Ensure price and rating filters are applied in the aggregation pipeline.</t>
  </si>
  <si>
    <t>Assertions in the test verify the outcome.</t>
  </si>
  <si>
    <t>getStoreProductsQuery(min=100, max=500, rating=4)</t>
  </si>
  <si>
    <t>Match stage keeps isActive true with price 100-500 and averageRating &gt;=4.</t>
  </si>
  <si>
    <t>Automated</t>
  </si>
  <si>
    <t>Jest</t>
  </si>
  <si>
    <t>defaults to only active products when filters missing</t>
  </si>
  <si>
    <t>Pipeline should default to active products when no filters are supplied.</t>
  </si>
  <si>
    <t>getStoreProductsQuery()</t>
  </si>
  <si>
    <t>Match stage only contains isActive: true.</t>
  </si>
  <si>
    <t>builds lookup pipeline that filters by user wishlist</t>
  </si>
  <si>
    <t>Wishlist pipeline should attach isLiked for the supplied user.</t>
  </si>
  <si>
    <t>getStoreProductsWishListQuery(userId='user-123')</t>
  </si>
  <si>
    <t>Lookup uses ObjectId(user-123) and addFields exposes isLiked flag.</t>
  </si>
  <si>
    <t>Regression</t>
  </si>
  <si>
    <t>matches snapshot for standard filters</t>
  </si>
  <si>
    <t>Guard pipeline shape for typical price and rating filters.</t>
  </si>
  <si>
    <t>Compare snapshot for getStoreProductsQuery(50, 200, 4.5)</t>
  </si>
  <si>
    <t>getStoreProductsQuery(min=50, max=200, rating=4.5)</t>
  </si>
  <si>
    <t>Pipeline matches stored Jest snapshot.</t>
  </si>
  <si>
    <t>Snapshot guard</t>
  </si>
  <si>
    <t>Edge</t>
  </si>
  <si>
    <t>rating 0 and min &gt; max do not crash</t>
  </si>
  <si>
    <t>Handle inverted price bounds without averageRating filter.</t>
  </si>
  <si>
    <t>getStoreProductsQuery(min=200, max=50, rating=0)</t>
  </si>
  <si>
    <t>Pipeline retains price bounds and omits averageRating without throwing.</t>
  </si>
  <si>
    <t>Ensure wishlist lookup pipeline stays stable for user ids.</t>
  </si>
  <si>
    <t>Compare snapshot for getStoreProductsWishListQuery('abc123')</t>
  </si>
  <si>
    <t>getStoreProductsWishListQuery(userId='abc123')</t>
  </si>
  <si>
    <t>Negative</t>
  </si>
  <si>
    <t>throws when ObjectId fails (invalid input)</t>
  </si>
  <si>
    <t>Surface errors when ObjectId construction fails for wishlist pipeline.</t>
  </si>
  <si>
    <t>getStoreProductsWishListQuery(userId='bad') with ObjectId mocked to throw</t>
  </si>
  <si>
    <t>Error is raised for invalid object id input.</t>
  </si>
  <si>
    <t>Product search route</t>
  </si>
  <si>
    <t>Integration Test</t>
  </si>
  <si>
    <t>returns products when matches are found</t>
  </si>
  <si>
    <t>Express app bootstrapped in Jest with mocked dependencies.</t>
  </si>
  <si>
    <t>Search endpoint should return matching products.</t>
  </si>
  <si>
    <t>Request /api/product/list/search/camera with seeded match</t>
  </si>
  <si>
    <t>GET /api/product/list/search/camera</t>
  </si>
  <si>
    <t>HTTP 200 with a products array containing matches.</t>
  </si>
  <si>
    <t>Jest + Supertest</t>
  </si>
  <si>
    <t>returns 404 when nothing matches</t>
  </si>
  <si>
    <t>Search endpoint returns not found when no product matches query.</t>
  </si>
  <si>
    <t>Request /api/product/list/search/unknown with empty result</t>
  </si>
  <si>
    <t>GET /api/product/list/search/unknown</t>
  </si>
  <si>
    <t>HTTP 404 with 'No product found' message.</t>
  </si>
  <si>
    <t>returns 400 when find throws error</t>
  </si>
  <si>
    <t>Search endpoint surfaces a 400 when the database find rejects.</t>
  </si>
  <si>
    <t>Force Product.find to reject then request /api/product/list/search/fail</t>
  </si>
  <si>
    <t>GET /api/product/list/search/fail</t>
  </si>
  <si>
    <t>HTTP 400 with processing error body.</t>
  </si>
  <si>
    <t>Product routes</t>
  </si>
  <si>
    <t>GET /api/product/item/:slug returns payload when product and brand active</t>
  </si>
  <si>
    <t>Product detail should return when brand is active and image is ensured.</t>
  </si>
  <si>
    <t>GET /api/product/item/camera-01</t>
  </si>
  <si>
    <t>HTTP 200 with product payload and imageUrl populated.</t>
  </si>
  <si>
    <t>GET /api/product/item/:slug returns 404 when product brand inactive</t>
  </si>
  <si>
    <t>Inactive brand should make the product unreachable.</t>
  </si>
  <si>
    <t>GET /api/product/item/camera-old</t>
  </si>
  <si>
    <t>GET /api/product/list applies filters, wishlist, and pagination</t>
  </si>
  <si>
    <t>List endpoint applies category/brand filters, wishlist lookup, sort and paging.</t>
  </si>
  <si>
    <t>GET /api/product/list?category=camera&amp;brand=best-brand&amp;min=10&amp;max=500&amp;page=1&amp;limit=2</t>
  </si>
  <si>
    <t>HTTP 200 with count=2, totalPages&gt;=1, wishlist and images applied.</t>
  </si>
  <si>
    <t>GET /api/product/featured returns featured list for guest user</t>
  </si>
  <si>
    <t>Featured endpoint should return featured products with images.</t>
  </si>
  <si>
    <t>GET /api/product/featured?limit=3</t>
  </si>
  <si>
    <t>HTTP 200 with featured products list and imageUrl applied.</t>
  </si>
  <si>
    <t>GET /api/product/popular respects rating/min/max filters</t>
  </si>
  <si>
    <t>Popular endpoint should sort by popularity and respect rating/min/max filters.</t>
  </si>
  <si>
    <t>GET /api/product/popular?limit=1&amp;rating=4&amp;min=10&amp;max=100</t>
  </si>
  <si>
    <t>HTTP 200 with limited list sorted by popularity and filters applied.</t>
  </si>
  <si>
    <t>GET /api/product/list/select returns minimal product names under auth guard</t>
  </si>
  <si>
    <t>Select endpoint returns minimal product names for authenticated user.</t>
  </si>
  <si>
    <t>GET /api/product/list/select</t>
  </si>
  <si>
    <t>HTTP 200 with array of product name records.</t>
  </si>
  <si>
    <t>Cart permissions</t>
  </si>
  <si>
    <t>rejects when user is missing</t>
  </si>
  <si>
    <t>ensurePurchaser should block unauthenticated access.</t>
  </si>
  <si>
    <t>user=None</t>
  </si>
  <si>
    <t>allowed false with 401 Authentication required error.</t>
  </si>
  <si>
    <t>rejects admin accounts</t>
  </si>
  <si>
    <t>ensurePurchaser should block admin roles.</t>
  </si>
  <si>
    <t>user.role=Admin</t>
  </si>
  <si>
    <t>allowed false with 403 Store management accounts error.</t>
  </si>
  <si>
    <t>allows member shopper</t>
  </si>
  <si>
    <t>ensurePurchaser should allow member role shoppers.</t>
  </si>
  <si>
    <t>user.role=Member</t>
  </si>
  <si>
    <t>allowed true with no error response.</t>
  </si>
  <si>
    <t>treats empty user object as unauthorized (missing auth)</t>
  </si>
  <si>
    <t>Documents current behavior when user object is empty.</t>
  </si>
  <si>
    <t>user={} (no role)</t>
  </si>
  <si>
    <t>allowed true (current behavior accepts empty object).</t>
  </si>
  <si>
    <t>Documents current behavior; follow-up may be needed</t>
  </si>
  <si>
    <t>returns allowed for users with random roles (non admin)</t>
  </si>
  <si>
    <t>Non-admin arbitrary roles are treated as allowed.</t>
  </si>
  <si>
    <t>user.role=ROLE_GUEST</t>
  </si>
  <si>
    <t>allowed true because only admin is blocked.</t>
  </si>
  <si>
    <t>rejects when user.role is undefined but user falsy</t>
  </si>
  <si>
    <t>Undefined user input should be rejected.</t>
  </si>
  <si>
    <t>user undefined</t>
  </si>
  <si>
    <t>allowed false with 401 status in response payload.</t>
  </si>
  <si>
    <t>rejects explicit admin account</t>
  </si>
  <si>
    <t>Admin users are blocked from cart operations.</t>
  </si>
  <si>
    <t>allowed false with 403 status in response payload.</t>
  </si>
  <si>
    <t>Cart routes</t>
  </si>
  <si>
    <t>rejects unauthenticated requests</t>
  </si>
  <si>
    <t>Cart add endpoint should reject missing auth.</t>
  </si>
  <si>
    <t>POST /api/cart/add with no token</t>
  </si>
  <si>
    <t>HTTP 401 with Authentication required error.</t>
  </si>
  <si>
    <t>rejects admin users creating carts</t>
  </si>
  <si>
    <t>Cart add should block admin role accounts.</t>
  </si>
  <si>
    <t>POST /api/cart/add as admin</t>
  </si>
  <si>
    <t>HTTP 403 with Store management accounts message.</t>
  </si>
  <si>
    <t>creates cart for member user</t>
  </si>
  <si>
    <t>Cart add should create a cart for member with taxes applied and bulk stock update.</t>
  </si>
  <si>
    <t>POST /api/cart/add with valid products payload</t>
  </si>
  <si>
    <t>HTTP 200 with success true, cartId returned, stock bulkWrite invoked.</t>
  </si>
  <si>
    <t>allows member to add product to existing cart</t>
  </si>
  <si>
    <t>Members can append products to an existing cart.</t>
  </si>
  <si>
    <t>POST /api/cart/add/{cartId} with product payload</t>
  </si>
  <si>
    <t>HTTP 200 and Cart.updateOne called with $push.</t>
  </si>
  <si>
    <t>allows member to delete entire cart</t>
  </si>
  <si>
    <t>Members can delete a cart they own.</t>
  </si>
  <si>
    <t>DELETE /api/cart/delete/{cartId}</t>
  </si>
  <si>
    <t>HTTP 200 and Cart.deleteOne called for the id.</t>
  </si>
  <si>
    <t>allows member to delete specific product from cart</t>
  </si>
  <si>
    <t>Members can remove a product line from a cart.</t>
  </si>
  <si>
    <t>DELETE /api/cart/delete/{cartId}/{productId}</t>
  </si>
  <si>
    <t>HTTP 200 and Cart.updateOne called with $pull for product.</t>
  </si>
  <si>
    <t>Role middleware</t>
  </si>
  <si>
    <t>returns 401 when user missing</t>
  </si>
  <si>
    <t>Role check should block missing users.</t>
  </si>
  <si>
    <t>role.check(Admin) with req.user=null</t>
  </si>
  <si>
    <t>Responds 401 Unauthorized and does not call next().</t>
  </si>
  <si>
    <t>returns 403 when role mismatch</t>
  </si>
  <si>
    <t>Role check should block non-matching roles.</t>
  </si>
  <si>
    <t>role.check(Admin) with req.user.role=Member</t>
  </si>
  <si>
    <t>Responds 403 not allowed and stops middleware chain.</t>
  </si>
  <si>
    <t>passes through when role is allowed</t>
  </si>
  <si>
    <t>Role check allows matching roles.</t>
  </si>
  <si>
    <t>role.check(Admin) with req.user.role=Admin</t>
  </si>
  <si>
    <t>Calls next() without setting error status.</t>
  </si>
  <si>
    <t>handles undefined role on user object</t>
  </si>
  <si>
    <t>Undefined roles should be treated as forbidden.</t>
  </si>
  <si>
    <t>role.check(Admin) with req.user.role undefined</t>
  </si>
  <si>
    <t>Responds 403 not allowed and blocks next().</t>
  </si>
  <si>
    <t>allows custom role when included in allowed list</t>
  </si>
  <si>
    <t>Custom allowed roles should pass through.</t>
  </si>
  <si>
    <t>role.check('ROLE_CUSTOM') with req.user.role=ROLE_CUSTOM</t>
  </si>
  <si>
    <t>Calls next() successfully.</t>
  </si>
  <si>
    <t>Role access guard</t>
  </si>
  <si>
    <t>rejects when user missing</t>
  </si>
  <si>
    <t>Route guarded by role middleware should block missing user.</t>
  </si>
  <si>
    <t>GET /admin-only with no user injected</t>
  </si>
  <si>
    <t>HTTP 401 Unauthorized returned.</t>
  </si>
  <si>
    <t>rejects when role is not admin</t>
  </si>
  <si>
    <t>Member role should not access admin-only route.</t>
  </si>
  <si>
    <t>GET /admin-only as Member</t>
  </si>
  <si>
    <t>HTTP 403 not allowed returned.</t>
  </si>
  <si>
    <t>allows admin user</t>
  </si>
  <si>
    <t>Admin role should access admin-only route.</t>
  </si>
  <si>
    <t>GET /admin-only as Admin</t>
  </si>
  <si>
    <t>HTTP 200 with success true.</t>
  </si>
  <si>
    <t>Store utils</t>
  </si>
  <si>
    <t>calculates sales tax per cart item</t>
  </si>
  <si>
    <t>Cart item totals should include price, tax, and priceWithTax.</t>
  </si>
  <si>
    <t>items with taxable and non-taxable prices</t>
  </si>
  <si>
    <t>Returns totals per item with correct tax and priceWithTax fields.</t>
  </si>
  <si>
    <t>calculates order total excluding cancelled items</t>
  </si>
  <si>
    <t>Cancelled items should not contribute to totals.</t>
  </si>
  <si>
    <t>order.products include Processing/Cancelled/Delivered</t>
  </si>
  <si>
    <t>Total equals sum of non-cancelled items only (e.g., 120).</t>
  </si>
  <si>
    <t>calculates order tax amount &amp; updates totals</t>
  </si>
  <si>
    <t>Order totals and item priceWithTax should be updated with tax amounts.</t>
  </si>
  <si>
    <t>order with taxable and cancelled items</t>
  </si>
  <si>
    <t>Returns total=100, totalTax?5, totalWithTax?105 and priceWithTax updated.</t>
  </si>
  <si>
    <t>formatOrders normalizes cart data and totals</t>
  </si>
  <si>
    <t>formatOrders should copy cart id and compute totals with tax.</t>
  </si>
  <si>
    <t>orders list containing cart and products</t>
  </si>
  <si>
    <t>Returns formatted order with cartId and priceWithTax &gt; total.</t>
  </si>
  <si>
    <t>caculateTaxAmount keeps totals zero when all items cancelled</t>
  </si>
  <si>
    <t>Cancelled-only orders should zero out totals but keep priceWithTax fallback.</t>
  </si>
  <si>
    <t>order with all products status Cancelled</t>
  </si>
  <si>
    <t>total and totalWithTax become 0; cancelled item priceWithTax equals price.</t>
  </si>
  <si>
    <t>handles zero and negative price/quantity gracefully</t>
  </si>
  <si>
    <t>Sales tax calculation should not produce NaN for edge prices/quantities.</t>
  </si>
  <si>
    <t>items with zero/negative price or quantity</t>
  </si>
  <si>
    <t>Outputs finite totalPrice, totalTax, and priceWithTax for each item.</t>
  </si>
  <si>
    <t>caculateTaxAmount tolerates product missing fields</t>
  </si>
  <si>
    <t>Tax calculation should not crash when product fields are missing.</t>
  </si>
  <si>
    <t>order with null/empty product objects</t>
  </si>
  <si>
    <t>total and totalWithTax remain 0 without throwing errors.</t>
  </si>
  <si>
    <t>formatOrders works even if cart or products missing</t>
  </si>
  <si>
    <t>Formatter should handle null cart and empty products array.</t>
  </si>
  <si>
    <t>orders with missing cart or empty products</t>
  </si>
  <si>
    <t>Returns formatted entries without throwing and preserves ids.</t>
  </si>
  <si>
    <t>caculateTaxAmount does not throw when taxable flag is undefined</t>
  </si>
  <si>
    <t>Missing taxable flag should not break tax calculation.</t>
  </si>
  <si>
    <t>order item with taxable flag omitted</t>
  </si>
  <si>
    <t>Function completes without exception.</t>
  </si>
  <si>
    <t>fuzz random inputs to avoid NaN results</t>
  </si>
  <si>
    <t>Randomized price/quantity inputs should always produce finite numbers.</t>
  </si>
  <si>
    <t>100 random items with varied price/quantity</t>
  </si>
  <si>
    <t>All totalPrice/totalTax/priceWithTax values remain finite.</t>
  </si>
  <si>
    <t>Order routes</t>
  </si>
  <si>
    <t>Order creation should require authentication.</t>
  </si>
  <si>
    <t>POST /api/order/add without token</t>
  </si>
  <si>
    <t>rejects admin users placing orders</t>
  </si>
  <si>
    <t>Admin accounts cannot place customer orders.</t>
  </si>
  <si>
    <t>POST /api/order/add as admin</t>
  </si>
  <si>
    <t>fails when cartId missing</t>
  </si>
  <si>
    <t>Cart reference is mandatory for order creation.</t>
  </si>
  <si>
    <t>POST /api/order/add without cartId</t>
  </si>
  <si>
    <t>HTTP 400 with Missing cart reference error.</t>
  </si>
  <si>
    <t>fails when shipping info incomplete</t>
  </si>
  <si>
    <t>Order creation should validate complete shipping fields.</t>
  </si>
  <si>
    <t>POST /api/order/add missing address fields</t>
  </si>
  <si>
    <t>HTTP 400 with complete shipping information error.</t>
  </si>
  <si>
    <t>creates order successfully for member user</t>
  </si>
  <si>
    <t>Member with valid cart and shipping creates order and triggers email.</t>
  </si>
  <si>
    <t>POST /api/order/add with cartId, total, COD, shipping payload</t>
  </si>
  <si>
    <t>HTTP 200 success true; order saved; cart fetched; email sent.</t>
  </si>
  <si>
    <t>GET /api/order/search returns [] when search id invalid</t>
  </si>
  <si>
    <t>Search endpoint should return empty list when id is invalid.</t>
  </si>
  <si>
    <t>GET /api/order/search?search=bad-id</t>
  </si>
  <si>
    <t>HTTP 200 with empty orders array and no DB query executed.</t>
  </si>
  <si>
    <t>GET /api/order/search returns sanitized orders for admin</t>
  </si>
  <si>
    <t>Admin search returns sanitized order totals with tax applied.</t>
  </si>
  <si>
    <t>GET /api/order/search?search=665544332211 as Admin</t>
  </si>
  <si>
    <t>HTTP 200 with formatted order, total rounded and tax calculated.</t>
  </si>
  <si>
    <t>GET /api/order/me paginates and formats results</t>
  </si>
  <si>
    <t>Order history for member is paginated and formatted.</t>
  </si>
  <si>
    <t>GET /api/order/me?page=2&amp;limit=1</t>
  </si>
  <si>
    <t>HTTP 200 with totalPages/count and formatted orders list.</t>
  </si>
  <si>
    <t>GET /api/order/:orderId returns normalized response for member</t>
  </si>
  <si>
    <t>Order detail response should include cartId and tax calculations.</t>
  </si>
  <si>
    <t>GET /api/order/order-3</t>
  </si>
  <si>
    <t>HTTP 200 with normalized order payload and cartId present.</t>
  </si>
  <si>
    <t>PUT /api/order/complete/:orderId marks delivered items as completed</t>
  </si>
  <si>
    <t>Completing an order marks delivered cart items completed and saves cart.</t>
  </si>
  <si>
    <t>PUT /api/order/complete/order-9</t>
  </si>
  <si>
    <t>HTTP 200 with completion message; cart marked modified and saved.</t>
  </si>
  <si>
    <t>PUT /api/order/status/item/:itemId cancels entire order when all items cancelled</t>
  </si>
  <si>
    <t>Cancelling the last item should remove order and cart and update inventory.</t>
  </si>
  <si>
    <t>PUT /api/order/status/item/item-1 with status=Cancelled</t>
  </si>
  <si>
    <t>HTTP 200 with orderCancelled true and Order/Cart delete invoked.</t>
  </si>
  <si>
    <t>Module / Scenario</t>
  </si>
  <si>
    <t>MAN-SRCH-01</t>
  </si>
  <si>
    <t>Search UI case-insensitive</t>
  </si>
  <si>
    <t>MAN-SRCH-02</t>
  </si>
  <si>
    <t>Search special chars</t>
  </si>
  <si>
    <t>MAN-PROD-01</t>
  </si>
  <si>
    <t>Product detail (slug)</t>
  </si>
  <si>
    <t>MAN-PROD-02</t>
  </si>
  <si>
    <t>Listing + filters</t>
  </si>
  <si>
    <t>MAN-WL-01</t>
  </si>
  <si>
    <t>Wishlist toggle</t>
  </si>
  <si>
    <t>MAN-CART-01</t>
  </si>
  <si>
    <t>Add to cart</t>
  </si>
  <si>
    <t>MAN-CART-02</t>
  </si>
  <si>
    <t>Remove item</t>
  </si>
  <si>
    <t>MAN-CART-03</t>
  </si>
  <si>
    <t>Qty to zero</t>
  </si>
  <si>
    <t>MAN-CKO-01</t>
  </si>
  <si>
    <t>Checkout happy path</t>
  </si>
  <si>
    <t>MAN-CKO-02</t>
  </si>
  <si>
    <t>Checkout missing shipping</t>
  </si>
  <si>
    <t>MAN-ORD-01</t>
  </si>
  <si>
    <t>My Orders paging</t>
  </si>
  <si>
    <t>MAN-ORD-02</t>
  </si>
  <si>
    <t>Cancel item/order</t>
  </si>
  <si>
    <t>MAN-ORD-03</t>
  </si>
  <si>
    <t>Complete order</t>
  </si>
  <si>
    <t>MAN-REV-01</t>
  </si>
  <si>
    <t>Review allowed</t>
  </si>
  <si>
    <t>MAN-REV-02</t>
  </si>
  <si>
    <t>Block early review</t>
  </si>
  <si>
    <t>MAN-ADDR-01</t>
  </si>
  <si>
    <t>Address CRUD</t>
  </si>
  <si>
    <t>MAN-ADDR-SEC</t>
  </si>
  <si>
    <t>Address security</t>
  </si>
  <si>
    <t>MAN-AUTH-01</t>
  </si>
  <si>
    <t>RBAC UI</t>
  </si>
  <si>
    <t>MAN-PROD-CRUD-ADM</t>
  </si>
  <si>
    <t>Admin product CRUD</t>
  </si>
  <si>
    <t>MAN-MER-01</t>
  </si>
  <si>
    <t>Merchant application</t>
  </si>
  <si>
    <t>ID</t>
  </si>
  <si>
    <t>Type</t>
  </si>
  <si>
    <t>Result Type</t>
  </si>
  <si>
    <t>Module</t>
  </si>
  <si>
    <t>Status</t>
  </si>
  <si>
    <t>Description</t>
  </si>
  <si>
    <t>Category</t>
  </si>
  <si>
    <t>Count</t>
  </si>
  <si>
    <t>Note</t>
  </si>
  <si>
    <t>BUG-SEC-002</t>
  </si>
  <si>
    <t>Security Bug</t>
  </si>
  <si>
    <t>Defect (not test fail)</t>
  </si>
  <si>
    <t>Review</t>
  </si>
  <si>
    <t>Critical</t>
  </si>
  <si>
    <t>Open</t>
  </si>
  <si>
    <t>Approve/reject/update/delete review missing role/owner guard</t>
  </si>
  <si>
    <t>Open Defects</t>
  </si>
  <si>
    <t>Identified during manual/security testing</t>
  </si>
  <si>
    <t>BUG-SEC-003</t>
  </si>
  <si>
    <t>Order</t>
  </si>
  <si>
    <t>User can cancel order of another user</t>
  </si>
  <si>
    <t>Open Risks</t>
  </si>
  <si>
    <t>Design-level risks, not execution failures</t>
  </si>
  <si>
    <t>BUG-SEC-004</t>
  </si>
  <si>
    <t>High</t>
  </si>
  <si>
    <t>Server should compute totals, not accept client total</t>
  </si>
  <si>
    <t>Total Findings</t>
  </si>
  <si>
    <t>Not counted as test execution failures</t>
  </si>
  <si>
    <t>BUG-BIZ-001</t>
  </si>
  <si>
    <t>Business Bug</t>
  </si>
  <si>
    <t>Inventory</t>
  </si>
  <si>
    <t>Medium</t>
  </si>
  <si>
    <t>Inventory reduced at cart creation, not restored on delete</t>
  </si>
  <si>
    <t>RISK-SEC-001</t>
  </si>
  <si>
    <t>Security Risk</t>
  </si>
  <si>
    <t>Risk (not test fail)</t>
  </si>
  <si>
    <t>Authentication</t>
  </si>
  <si>
    <t>Low</t>
  </si>
  <si>
    <t>Brute-force protection not implemented</t>
  </si>
  <si>
    <t>RISK-API-001</t>
  </si>
  <si>
    <t>API Risk</t>
  </si>
  <si>
    <t>Product</t>
  </si>
  <si>
    <t>Sort field accepts arbitrary values</t>
  </si>
  <si>
    <t>This information is for template control purpose only. This page can be removed when an actual document is made.</t>
  </si>
  <si>
    <t>Document Control Page</t>
  </si>
  <si>
    <t>Test Execution Report Template</t>
  </si>
  <si>
    <t>Template version:</t>
  </si>
  <si>
    <t>1.0</t>
  </si>
  <si>
    <t>Template status:</t>
  </si>
  <si>
    <t>Approved</t>
  </si>
  <si>
    <t>Template file name:</t>
  </si>
  <si>
    <t>Test Execution Report.xlsx</t>
  </si>
  <si>
    <t>Revision history of this template</t>
  </si>
  <si>
    <t>Version No.</t>
  </si>
  <si>
    <t>Revision Date</t>
  </si>
  <si>
    <t>Change Description</t>
  </si>
  <si>
    <t>Author's Name</t>
  </si>
  <si>
    <t>Approver's Name</t>
  </si>
  <si>
    <t>Approver's Title</t>
  </si>
  <si>
    <t>Draft</t>
  </si>
  <si>
    <t>SEPG</t>
  </si>
  <si>
    <t xml:space="preserve"> </t>
  </si>
  <si>
    <t>0.9</t>
  </si>
  <si>
    <t>Reviewed</t>
  </si>
  <si>
    <t>0.95</t>
  </si>
  <si>
    <t>Update based on review of Aug 19 with PI task force</t>
  </si>
  <si>
    <t>Hy TQ</t>
  </si>
  <si>
    <t>DE Manager</t>
  </si>
  <si>
    <t xml:space="preserve">Usage notes: </t>
  </si>
  <si>
    <t>Use this template to develop the various kinds of documents. The content of the document are subjected to be filled and changed in the document, according to the following legends:</t>
  </si>
  <si>
    <t>Blue comment: The brief guidance on how to fill the sections. These parts shall be removed from the actual documents.</t>
  </si>
  <si>
    <t>Example (Red text): The brief example to illustrate the sections. These parts shall be removed from the actual documents.</t>
  </si>
  <si>
    <t>[Text in brackets]: Shall be replaced with the actual contents.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</si>
</sst>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yyyy\-mm\-dd\ h:mm:ss"/>
    <numFmt numFmtId="166" formatCode="dd\-mmm\-yy"/>
  </numFmts>
  <fonts count="24">
    <font>
      <sz val="12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b/>
      <sz val="28"/>
      <color indexed="54"/>
      <name val="Arial"/>
      <family val="2"/>
    </font>
    <font>
      <b/>
      <sz val="12"/>
      <color indexed="9"/>
      <name val="Arial"/>
      <family val="2"/>
    </font>
    <font>
      <sz val="14"/>
      <color indexed="54"/>
      <name val="Arial"/>
      <family val="2"/>
    </font>
    <font>
      <sz val="24"/>
      <color indexed="9"/>
      <name val="Arial"/>
      <family val="2"/>
    </font>
    <font>
      <b/>
      <i/>
      <sz val="10"/>
      <color indexed="9"/>
      <name val="Arial"/>
      <family val="2"/>
    </font>
    <font>
      <i/>
      <sz val="10"/>
      <color indexed="12"/>
      <name val="Arial"/>
      <family val="2"/>
    </font>
    <font>
      <b/>
      <i/>
      <u/>
      <sz val="10"/>
      <color indexed="12"/>
      <name val="Arial"/>
      <family val="2"/>
    </font>
    <font>
      <sz val="10"/>
      <color indexed="10"/>
      <name val="Arial"/>
      <family val="2"/>
    </font>
    <font>
      <b/>
      <i/>
      <sz val="10"/>
      <color indexed="12"/>
      <name val="Arial"/>
      <family val="2"/>
    </font>
    <font>
      <i/>
      <sz val="10"/>
      <color indexed="10"/>
      <name val="Arial"/>
      <family val="2"/>
    </font>
    <font>
      <sz val="10.5"/>
      <name val="Times New (W1)"/>
      <family val="1"/>
    </font>
    <font>
      <b/>
      <sz val="8"/>
      <name val="Arial"/>
      <family val="2"/>
    </font>
    <font>
      <b/>
      <sz val="8"/>
      <color indexed="9"/>
      <name val="Arial"/>
      <family val="2"/>
    </font>
    <font>
      <b/>
      <sz val="12"/>
      <color rgb="FFFFFFFF"/>
      <name val="Arial"/>
      <family val="2"/>
    </font>
    <font>
      <b/>
      <sz val="12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008000"/>
      </patternFill>
    </fill>
    <fill>
      <patternFill patternType="solid">
        <fgColor rgb="FFC5E0B4"/>
      </patternFill>
    </fill>
    <fill>
      <patternFill patternType="solid">
        <fgColor rgb="FFC5E0B4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FFF"/>
        <bgColor rgb="FF000000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5" fillId="4" borderId="0" xfId="0" applyFont="1" applyFill="1"/>
    <xf numFmtId="0" fontId="0" fillId="4" borderId="0" xfId="0" applyFill="1" applyAlignment="1">
      <alignment horizontal="center"/>
    </xf>
    <xf numFmtId="0" fontId="8" fillId="4" borderId="0" xfId="0" applyFont="1" applyFill="1" applyAlignment="1">
      <alignment horizontal="center" vertical="center" wrapText="1"/>
    </xf>
    <xf numFmtId="0" fontId="10" fillId="4" borderId="0" xfId="0" applyFont="1" applyFill="1"/>
    <xf numFmtId="0" fontId="0" fillId="2" borderId="0" xfId="0" applyFill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/>
    <xf numFmtId="0" fontId="8" fillId="4" borderId="2" xfId="0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right"/>
    </xf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2" fillId="0" borderId="0" xfId="4"/>
    <xf numFmtId="0" fontId="4" fillId="0" borderId="0" xfId="4" applyFont="1"/>
    <xf numFmtId="0" fontId="11" fillId="7" borderId="4" xfId="4" applyFont="1" applyFill="1" applyBorder="1" applyAlignment="1">
      <alignment horizontal="left" wrapText="1"/>
    </xf>
    <xf numFmtId="0" fontId="2" fillId="8" borderId="4" xfId="4" applyFill="1" applyBorder="1" applyAlignment="1">
      <alignment wrapText="1"/>
    </xf>
    <xf numFmtId="0" fontId="2" fillId="8" borderId="0" xfId="4" applyFill="1"/>
    <xf numFmtId="0" fontId="2" fillId="10" borderId="4" xfId="4" applyFill="1" applyBorder="1" applyAlignment="1">
      <alignment horizontal="right"/>
    </xf>
    <xf numFmtId="0" fontId="2" fillId="11" borderId="4" xfId="4" applyFill="1" applyBorder="1" applyAlignment="1">
      <alignment horizontal="left" indent="1"/>
    </xf>
    <xf numFmtId="0" fontId="2" fillId="8" borderId="4" xfId="4" applyFill="1" applyBorder="1"/>
    <xf numFmtId="0" fontId="3" fillId="0" borderId="0" xfId="4" applyFont="1" applyAlignment="1">
      <alignment vertical="center" wrapText="1"/>
    </xf>
    <xf numFmtId="0" fontId="15" fillId="0" borderId="0" xfId="4" applyFont="1" applyAlignment="1">
      <alignment horizontal="justify"/>
    </xf>
    <xf numFmtId="0" fontId="12" fillId="0" borderId="0" xfId="4" applyFont="1"/>
    <xf numFmtId="0" fontId="15" fillId="0" borderId="0" xfId="4" applyFont="1"/>
    <xf numFmtId="0" fontId="16" fillId="0" borderId="0" xfId="4" applyFont="1"/>
    <xf numFmtId="0" fontId="2" fillId="0" borderId="0" xfId="3" applyAlignment="1">
      <alignment vertical="center" wrapText="1"/>
    </xf>
    <xf numFmtId="0" fontId="1" fillId="0" borderId="0" xfId="3" applyFont="1" applyAlignment="1">
      <alignment vertical="center" wrapText="1"/>
    </xf>
    <xf numFmtId="0" fontId="2" fillId="0" borderId="4" xfId="3" applyBorder="1" applyAlignment="1">
      <alignment vertical="center" wrapText="1"/>
    </xf>
    <xf numFmtId="0" fontId="2" fillId="0" borderId="4" xfId="3" applyBorder="1" applyAlignment="1">
      <alignment horizontal="justify" vertical="center" wrapText="1"/>
    </xf>
    <xf numFmtId="0" fontId="2" fillId="0" borderId="0" xfId="3" applyAlignment="1">
      <alignment vertical="center"/>
    </xf>
    <xf numFmtId="0" fontId="17" fillId="0" borderId="0" xfId="3" applyFont="1" applyAlignment="1">
      <alignment horizontal="justify"/>
    </xf>
    <xf numFmtId="0" fontId="11" fillId="7" borderId="4" xfId="0" applyFont="1" applyFill="1" applyBorder="1" applyAlignment="1">
      <alignment horizontal="left" wrapText="1"/>
    </xf>
    <xf numFmtId="0" fontId="18" fillId="8" borderId="0" xfId="0" applyFont="1" applyFill="1" applyAlignment="1">
      <alignment horizontal="right" vertical="center"/>
    </xf>
    <xf numFmtId="164" fontId="19" fillId="14" borderId="0" xfId="0" applyNumberFormat="1" applyFont="1" applyFill="1" applyAlignment="1" applyProtection="1">
      <alignment horizontal="center" vertical="center"/>
      <protection locked="0"/>
    </xf>
    <xf numFmtId="165" fontId="2" fillId="8" borderId="4" xfId="4" applyNumberFormat="1" applyFill="1" applyBorder="1" applyAlignment="1">
      <alignment wrapText="1"/>
    </xf>
    <xf numFmtId="0" fontId="14" fillId="3" borderId="4" xfId="4" applyFont="1" applyFill="1" applyBorder="1" applyAlignment="1">
      <alignment horizontal="left"/>
    </xf>
    <xf numFmtId="166" fontId="20" fillId="15" borderId="0" xfId="0" applyNumberFormat="1" applyFont="1" applyFill="1"/>
    <xf numFmtId="0" fontId="0" fillId="0" borderId="0" xfId="0" applyAlignment="1">
      <alignment horizontal="left" vertical="top" wrapText="1"/>
    </xf>
    <xf numFmtId="0" fontId="0" fillId="0" borderId="4" xfId="0" applyBorder="1"/>
    <xf numFmtId="0" fontId="1" fillId="9" borderId="4" xfId="4" applyFont="1" applyFill="1" applyBorder="1" applyAlignment="1">
      <alignment horizontal="center" vertical="center" wrapText="1"/>
    </xf>
    <xf numFmtId="0" fontId="6" fillId="0" borderId="0" xfId="0" applyFont="1"/>
    <xf numFmtId="0" fontId="6" fillId="16" borderId="0" xfId="0" applyFont="1" applyFill="1" applyAlignment="1">
      <alignment horizontal="center" vertical="center" wrapText="1"/>
    </xf>
    <xf numFmtId="0" fontId="2" fillId="12" borderId="0" xfId="4" applyFill="1" applyAlignment="1">
      <alignment vertical="center" wrapText="1"/>
    </xf>
    <xf numFmtId="0" fontId="1" fillId="0" borderId="0" xfId="4" applyFont="1" applyAlignment="1">
      <alignment horizontal="justify" vertical="center" wrapText="1"/>
    </xf>
    <xf numFmtId="0" fontId="2" fillId="0" borderId="0" xfId="4" applyAlignment="1">
      <alignment vertical="center" wrapText="1"/>
    </xf>
    <xf numFmtId="0" fontId="2" fillId="0" borderId="4" xfId="4" applyBorder="1" applyAlignment="1">
      <alignment vertical="center" wrapText="1"/>
    </xf>
    <xf numFmtId="0" fontId="2" fillId="0" borderId="4" xfId="4" applyBorder="1" applyAlignment="1">
      <alignment horizontal="justify" vertical="center" wrapText="1"/>
    </xf>
    <xf numFmtId="49" fontId="2" fillId="0" borderId="4" xfId="4" applyNumberFormat="1" applyBorder="1" applyAlignment="1">
      <alignment horizontal="justify" vertical="center" wrapText="1"/>
    </xf>
    <xf numFmtId="0" fontId="2" fillId="3" borderId="4" xfId="4" applyFill="1" applyBorder="1" applyAlignment="1">
      <alignment horizontal="justify" vertical="center" wrapText="1"/>
    </xf>
    <xf numFmtId="15" fontId="2" fillId="0" borderId="4" xfId="4" applyNumberFormat="1" applyBorder="1" applyAlignment="1">
      <alignment horizontal="left" vertical="center" wrapText="1"/>
    </xf>
    <xf numFmtId="49" fontId="2" fillId="0" borderId="0" xfId="4" applyNumberFormat="1" applyAlignment="1">
      <alignment horizontal="justify" vertical="center" wrapText="1"/>
    </xf>
    <xf numFmtId="15" fontId="2" fillId="0" borderId="0" xfId="4" applyNumberFormat="1" applyAlignment="1">
      <alignment horizontal="left" vertical="center" wrapText="1"/>
    </xf>
    <xf numFmtId="0" fontId="2" fillId="0" borderId="0" xfId="4" applyAlignment="1">
      <alignment horizontal="justify" vertical="center" wrapText="1"/>
    </xf>
    <xf numFmtId="0" fontId="6" fillId="17" borderId="0" xfId="0" applyFont="1" applyFill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21" fillId="18" borderId="14" xfId="0" applyFont="1" applyFill="1" applyBorder="1" applyAlignment="1">
      <alignment horizontal="center"/>
    </xf>
    <xf numFmtId="0" fontId="21" fillId="18" borderId="13" xfId="0" applyFont="1" applyFill="1" applyBorder="1" applyAlignment="1">
      <alignment horizontal="center"/>
    </xf>
    <xf numFmtId="0" fontId="21" fillId="18" borderId="15" xfId="0" applyFont="1" applyFill="1" applyBorder="1" applyAlignment="1">
      <alignment horizontal="center"/>
    </xf>
    <xf numFmtId="0" fontId="22" fillId="19" borderId="16" xfId="0" applyFont="1" applyFill="1" applyBorder="1"/>
    <xf numFmtId="0" fontId="22" fillId="19" borderId="17" xfId="0" applyFont="1" applyFill="1" applyBorder="1"/>
    <xf numFmtId="0" fontId="23" fillId="0" borderId="18" xfId="0" applyFont="1" applyBorder="1"/>
    <xf numFmtId="0" fontId="23" fillId="0" borderId="19" xfId="0" applyFont="1" applyBorder="1"/>
    <xf numFmtId="0" fontId="23" fillId="0" borderId="20" xfId="0" applyFont="1" applyBorder="1"/>
    <xf numFmtId="0" fontId="23" fillId="0" borderId="21" xfId="0" applyFont="1" applyBorder="1"/>
    <xf numFmtId="0" fontId="23" fillId="0" borderId="16" xfId="0" applyFont="1" applyBorder="1"/>
    <xf numFmtId="0" fontId="23" fillId="0" borderId="17" xfId="0" applyFont="1" applyBorder="1"/>
    <xf numFmtId="0" fontId="1" fillId="3" borderId="4" xfId="3" applyFont="1" applyFill="1" applyBorder="1" applyAlignment="1">
      <alignment horizontal="left" vertical="center" wrapText="1"/>
    </xf>
    <xf numFmtId="0" fontId="13" fillId="0" borderId="0" xfId="4" applyFont="1" applyAlignment="1">
      <alignment horizontal="left" wrapText="1"/>
    </xf>
    <xf numFmtId="0" fontId="7" fillId="2" borderId="9" xfId="2" applyFont="1" applyFill="1" applyBorder="1" applyAlignment="1">
      <alignment horizontal="left"/>
    </xf>
    <xf numFmtId="0" fontId="0" fillId="3" borderId="4" xfId="0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2" fontId="0" fillId="3" borderId="4" xfId="0" applyNumberFormat="1" applyFill="1" applyBorder="1" applyAlignment="1">
      <alignment horizontal="center" vertical="center"/>
    </xf>
    <xf numFmtId="0" fontId="1" fillId="0" borderId="0" xfId="4" applyFont="1" applyAlignment="1">
      <alignment horizontal="justify" vertical="center" wrapText="1"/>
    </xf>
    <xf numFmtId="0" fontId="2" fillId="0" borderId="0" xfId="4" applyAlignment="1">
      <alignment vertical="center" wrapText="1"/>
    </xf>
    <xf numFmtId="0" fontId="2" fillId="0" borderId="0" xfId="4" applyAlignment="1"/>
    <xf numFmtId="0" fontId="0" fillId="0" borderId="8" xfId="0" applyBorder="1" applyAlignment="1"/>
    <xf numFmtId="0" fontId="0" fillId="0" borderId="10" xfId="0" applyBorder="1" applyAlignment="1"/>
    <xf numFmtId="0" fontId="0" fillId="0" borderId="5" xfId="0" applyBorder="1" applyAlignment="1"/>
  </cellXfs>
  <cellStyles count="5">
    <cellStyle name="Nor}al" xfId="1" xr:uid="{00000000-0005-0000-0000-000001000000}"/>
    <cellStyle name="Normal" xfId="0" builtinId="0"/>
    <cellStyle name="Normal_Issues - Defects - Dependencies - Risks - CDR - PLDDR - P3625" xfId="2" xr:uid="{00000000-0005-0000-0000-000002000000}"/>
    <cellStyle name="Normal_Tailoring Decisions" xfId="3" xr:uid="{00000000-0005-0000-0000-000003000000}"/>
    <cellStyle name="Normal_Test Execution___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vi-VN"/>
              <a:t>Test Execution Result</a:t>
            </a:r>
          </a:p>
        </c:rich>
      </c:tx>
      <c:layout>
        <c:manualLayout>
          <c:xMode val="edge"/>
          <c:yMode val="edge"/>
          <c:x val="0.34137291280148419"/>
          <c:y val="1.553400267464731E-2"/>
        </c:manualLayout>
      </c:layout>
      <c:overlay val="0"/>
      <c:spPr>
        <a:noFill/>
        <a:ln w="25400"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8.534322820037106E-2"/>
          <c:y val="7.9611763707567465E-2"/>
          <c:w val="0.77736549165120594"/>
          <c:h val="0.8135933900846529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46-4A83-9954-AB58EDF025A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46-4A83-9954-AB58EDF025A0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46-4A83-9954-AB58EDF025A0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46-4A83-9954-AB58EDF025A0}"/>
              </c:ext>
            </c:extLst>
          </c:dPt>
          <c:dLbls>
            <c:dLbl>
              <c:idx val="0"/>
              <c:spPr>
                <a:noFill/>
                <a:ln w="25400">
                  <a:noFill/>
                  <a:prstDash val="solid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46-4A83-9954-AB58EDF025A0}"/>
                </c:ext>
              </c:extLst>
            </c:dLbl>
            <c:dLbl>
              <c:idx val="1"/>
              <c:spPr>
                <a:noFill/>
                <a:ln w="25400">
                  <a:noFill/>
                  <a:prstDash val="solid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46-4A83-9954-AB58EDF025A0}"/>
                </c:ext>
              </c:extLst>
            </c:dLbl>
            <c:dLbl>
              <c:idx val="2"/>
              <c:spPr>
                <a:noFill/>
                <a:ln w="25400">
                  <a:noFill/>
                  <a:prstDash val="solid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46-4A83-9954-AB58EDF025A0}"/>
                </c:ext>
              </c:extLst>
            </c:dLbl>
            <c:dLbl>
              <c:idx val="3"/>
              <c:spPr>
                <a:noFill/>
                <a:ln w="25400">
                  <a:noFill/>
                  <a:prstDash val="solid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46-4A83-9954-AB58EDF025A0}"/>
                </c:ext>
              </c:extLst>
            </c:dLbl>
            <c:spPr>
              <a:noFill/>
              <a:ln w="25400">
                <a:noFill/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1270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Execution Report'!$G$4:$G$7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Not Run</c:v>
                </c:pt>
                <c:pt idx="3">
                  <c:v>Blocked</c:v>
                </c:pt>
              </c:strCache>
            </c:strRef>
          </c:cat>
          <c:val>
            <c:numRef>
              <c:f>'Test Execution Report'!$H$4:$H$7</c:f>
              <c:numCache>
                <c:formatCode>General</c:formatCode>
                <c:ptCount val="4"/>
                <c:pt idx="0">
                  <c:v>77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46-4A83-9954-AB58EDF02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842300556586269E-2"/>
          <c:y val="0.92038965847285314"/>
          <c:w val="0.98701298701298701"/>
          <c:h val="6.407776103292016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35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vi-VN"/>
        </a:p>
      </c:txPr>
    </c:legend>
    <c:plotVisOnly val="1"/>
    <c:dispBlanksAs val="zero"/>
    <c:showDLblsOverMax val="1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57150</xdr:rowOff>
    </xdr:from>
    <xdr:to>
      <xdr:col>10</xdr:col>
      <xdr:colOff>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ge\peg\DOCUME~1\ADMINI~1\LOCALS~1\Temp\Temporary%20Directory%201%20for%20Reworked.zip\Reworked\Project%20Tailoring%20Guideline\Project%20Workbook%20Outline%20&amp;%20Estimation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ge"/>
      <sheetName val="Overview"/>
      <sheetName val="Project Estimation"/>
      <sheetName val="Project Metrics"/>
      <sheetName val="Unit Estimates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76200" cap="flat" cmpd="sng" algn="ctr">
          <a:solidFill>
            <a:srgbClr xmlns:mc="http://schemas.openxmlformats.org/markup-compatibility/2006" xmlns:a14="http://schemas.microsoft.com/office/drawing/2010/main" val="0A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76200" cap="flat" cmpd="sng" algn="ctr">
          <a:solidFill>
            <a:srgbClr xmlns:mc="http://schemas.openxmlformats.org/markup-compatibility/2006" xmlns:a14="http://schemas.microsoft.com/office/drawing/2010/main" val="0A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8"/>
  <sheetViews>
    <sheetView workbookViewId="0"/>
  </sheetViews>
  <sheetFormatPr defaultColWidth="9.6640625" defaultRowHeight="12.6"/>
  <cols>
    <col min="1" max="1" width="9.6640625" style="22" customWidth="1"/>
    <col min="2" max="2" width="19.21875" style="22" customWidth="1"/>
    <col min="3" max="3" width="26.77734375" style="22" customWidth="1"/>
    <col min="4" max="5" width="9.6640625" style="22" customWidth="1"/>
    <col min="6" max="16384" width="9.6640625" style="22"/>
  </cols>
  <sheetData>
    <row r="3" spans="2:3" ht="18" customHeight="1">
      <c r="B3" s="23" t="s">
        <v>0</v>
      </c>
    </row>
    <row r="7" spans="2:3" ht="18" customHeight="1">
      <c r="B7" s="24" t="s">
        <v>1</v>
      </c>
      <c r="C7" s="25" t="s">
        <v>2</v>
      </c>
    </row>
    <row r="8" spans="2:3" ht="18" customHeight="1">
      <c r="B8" s="24" t="s">
        <v>3</v>
      </c>
      <c r="C8" s="25" t="s">
        <v>4</v>
      </c>
    </row>
    <row r="9" spans="2:3" ht="18" customHeight="1">
      <c r="B9" s="41" t="s">
        <v>5</v>
      </c>
      <c r="C9" s="25" t="s">
        <v>6</v>
      </c>
    </row>
    <row r="10" spans="2:3" ht="27.95" customHeight="1">
      <c r="B10" s="41" t="s">
        <v>7</v>
      </c>
      <c r="C10" s="25" t="s">
        <v>8</v>
      </c>
    </row>
    <row r="11" spans="2:3" ht="18" customHeight="1">
      <c r="B11" s="41" t="s">
        <v>9</v>
      </c>
      <c r="C11" s="25" t="s">
        <v>10</v>
      </c>
    </row>
    <row r="12" spans="2:3" ht="18" customHeight="1">
      <c r="B12" s="24" t="s">
        <v>11</v>
      </c>
      <c r="C12" s="44">
        <v>46008</v>
      </c>
    </row>
    <row r="13" spans="2:3" ht="19.5" customHeight="1">
      <c r="B13" s="24" t="s">
        <v>12</v>
      </c>
      <c r="C13" s="25" t="s">
        <v>13</v>
      </c>
    </row>
    <row r="15" spans="2:3" ht="100.5" customHeight="1">
      <c r="B15" s="80" t="s">
        <v>14</v>
      </c>
      <c r="C15" s="89"/>
    </row>
    <row r="17" spans="2:5" ht="12.95" customHeight="1">
      <c r="B17" s="36" t="s">
        <v>15</v>
      </c>
      <c r="C17" s="35"/>
      <c r="D17" s="35"/>
      <c r="E17" s="35"/>
    </row>
    <row r="18" spans="2:5">
      <c r="B18" s="39" t="s">
        <v>16</v>
      </c>
      <c r="C18" s="35"/>
      <c r="D18" s="35"/>
      <c r="E18" s="35"/>
    </row>
    <row r="19" spans="2:5" ht="13.5" customHeight="1">
      <c r="B19" s="40"/>
      <c r="C19" s="35"/>
      <c r="D19" s="35"/>
      <c r="E19" s="35"/>
    </row>
    <row r="20" spans="2:5" ht="12.95" customHeight="1">
      <c r="B20" s="36" t="s">
        <v>17</v>
      </c>
      <c r="C20" s="35"/>
      <c r="D20" s="35"/>
      <c r="E20" s="35"/>
    </row>
    <row r="21" spans="2:5" ht="12.95" customHeight="1">
      <c r="B21" s="79" t="s">
        <v>18</v>
      </c>
      <c r="C21" s="90"/>
      <c r="D21" s="79" t="s">
        <v>19</v>
      </c>
      <c r="E21" s="90"/>
    </row>
    <row r="22" spans="2:5">
      <c r="B22" s="38" t="s">
        <v>20</v>
      </c>
      <c r="C22" s="37"/>
      <c r="D22" s="38" t="s">
        <v>20</v>
      </c>
      <c r="E22" s="37"/>
    </row>
    <row r="23" spans="2:5">
      <c r="B23" s="38" t="s">
        <v>21</v>
      </c>
      <c r="C23" s="37"/>
      <c r="D23" s="38" t="s">
        <v>21</v>
      </c>
      <c r="E23" s="37"/>
    </row>
    <row r="24" spans="2:5" ht="37.5" customHeight="1">
      <c r="B24" s="38" t="s">
        <v>22</v>
      </c>
      <c r="C24" s="37"/>
      <c r="D24" s="38" t="s">
        <v>23</v>
      </c>
      <c r="E24" s="37"/>
    </row>
    <row r="25" spans="2:5" ht="37.5" customHeight="1">
      <c r="B25" s="38" t="s">
        <v>24</v>
      </c>
      <c r="C25" s="37"/>
      <c r="D25" s="38" t="s">
        <v>25</v>
      </c>
      <c r="E25" s="37"/>
    </row>
    <row r="26" spans="2:5">
      <c r="B26" s="38" t="s">
        <v>26</v>
      </c>
      <c r="C26" s="37"/>
      <c r="D26" s="38" t="s">
        <v>26</v>
      </c>
      <c r="E26" s="37"/>
    </row>
    <row r="27" spans="2:5">
      <c r="B27" s="38" t="s">
        <v>27</v>
      </c>
      <c r="C27" s="37"/>
      <c r="D27" s="38" t="s">
        <v>27</v>
      </c>
      <c r="E27" s="37"/>
    </row>
    <row r="28" spans="2:5">
      <c r="B28" s="38" t="s">
        <v>28</v>
      </c>
      <c r="C28" s="37"/>
      <c r="D28" s="38" t="s">
        <v>28</v>
      </c>
      <c r="E28" s="37"/>
    </row>
  </sheetData>
  <mergeCells count="3">
    <mergeCell ref="B21:C21"/>
    <mergeCell ref="B15:C15"/>
    <mergeCell ref="D21:E21"/>
  </mergeCells>
  <pageMargins left="0.18" right="0.18" top="0.64" bottom="0.78" header="0.2" footer="0.38"/>
  <pageSetup paperSize="9" orientation="landscape"/>
  <headerFooter alignWithMargins="0">
    <oddHeader>&amp;L&amp;G&amp;C&amp;"Arial,Bold"&amp;8</oddHeader>
    <oddFooter>&amp;L&amp;8 Copyright © IBM GDC Vietnam - All Rights Reserved&amp;C&amp;8 &amp;F
&amp;A Sheet&amp;R&amp;8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51"/>
  <sheetViews>
    <sheetView zoomScale="75" workbookViewId="0">
      <selection activeCell="B51" sqref="B51"/>
    </sheetView>
  </sheetViews>
  <sheetFormatPr defaultRowHeight="15.6"/>
  <cols>
    <col min="1" max="1" width="102.5546875" customWidth="1"/>
    <col min="2" max="4" width="13.5546875" style="1" customWidth="1"/>
  </cols>
  <sheetData>
    <row r="1" spans="1:4" ht="39" customHeight="1">
      <c r="A1" s="81" t="s">
        <v>29</v>
      </c>
      <c r="B1" s="91"/>
      <c r="C1" s="91"/>
      <c r="D1" s="91"/>
    </row>
    <row r="2" spans="1:4" ht="17.45" customHeight="1">
      <c r="A2" s="84" t="s">
        <v>30</v>
      </c>
      <c r="B2" s="85"/>
      <c r="C2" s="85"/>
      <c r="D2" s="85"/>
    </row>
    <row r="3" spans="1:4" ht="29.45" customHeight="1">
      <c r="A3" s="7" t="s">
        <v>31</v>
      </c>
      <c r="B3" s="6" t="s">
        <v>32</v>
      </c>
      <c r="C3" s="6" t="s">
        <v>33</v>
      </c>
    </row>
    <row r="4" spans="1:4">
      <c r="A4" s="4" t="e">
        <f>#REF!</f>
        <v>#REF!</v>
      </c>
      <c r="B4" s="5"/>
      <c r="C4" s="5"/>
    </row>
    <row r="5" spans="1:4">
      <c r="A5" s="3" t="e">
        <f>#REF!</f>
        <v>#REF!</v>
      </c>
      <c r="B5" s="1" t="s">
        <v>34</v>
      </c>
      <c r="C5" s="1" t="s">
        <v>35</v>
      </c>
    </row>
    <row r="6" spans="1:4">
      <c r="A6" s="3" t="e">
        <f>#REF!</f>
        <v>#REF!</v>
      </c>
      <c r="B6" s="1" t="s">
        <v>34</v>
      </c>
      <c r="C6" s="1" t="s">
        <v>35</v>
      </c>
    </row>
    <row r="7" spans="1:4">
      <c r="A7" s="3" t="e">
        <f>#REF!</f>
        <v>#REF!</v>
      </c>
      <c r="B7" s="1" t="s">
        <v>34</v>
      </c>
      <c r="C7" s="1" t="s">
        <v>35</v>
      </c>
    </row>
    <row r="8" spans="1:4">
      <c r="A8" s="3" t="e">
        <f>#REF!</f>
        <v>#REF!</v>
      </c>
      <c r="B8" s="1" t="s">
        <v>34</v>
      </c>
      <c r="C8" s="1" t="s">
        <v>35</v>
      </c>
    </row>
    <row r="9" spans="1:4">
      <c r="A9" s="3" t="e">
        <f>#REF!</f>
        <v>#REF!</v>
      </c>
      <c r="B9" s="1" t="s">
        <v>34</v>
      </c>
      <c r="C9" s="1" t="s">
        <v>35</v>
      </c>
    </row>
    <row r="10" spans="1:4">
      <c r="A10" s="3" t="e">
        <f>#REF!</f>
        <v>#REF!</v>
      </c>
      <c r="B10" s="1" t="s">
        <v>34</v>
      </c>
      <c r="C10" s="1" t="s">
        <v>35</v>
      </c>
    </row>
    <row r="11" spans="1:4">
      <c r="A11" s="3" t="e">
        <f>#REF!</f>
        <v>#REF!</v>
      </c>
      <c r="B11" s="1" t="s">
        <v>34</v>
      </c>
      <c r="C11" s="1" t="s">
        <v>35</v>
      </c>
    </row>
    <row r="12" spans="1:4">
      <c r="A12" s="3" t="e">
        <f>#REF!</f>
        <v>#REF!</v>
      </c>
      <c r="B12" s="1" t="s">
        <v>34</v>
      </c>
      <c r="C12" s="1" t="s">
        <v>35</v>
      </c>
    </row>
    <row r="13" spans="1:4">
      <c r="A13" s="3" t="e">
        <f>#REF!</f>
        <v>#REF!</v>
      </c>
      <c r="B13" s="1" t="s">
        <v>35</v>
      </c>
      <c r="C13" s="1" t="s">
        <v>35</v>
      </c>
    </row>
    <row r="14" spans="1:4">
      <c r="A14" s="4" t="e">
        <f>#REF!</f>
        <v>#REF!</v>
      </c>
      <c r="B14" s="5"/>
      <c r="C14" s="5"/>
    </row>
    <row r="15" spans="1:4">
      <c r="A15" s="3" t="e">
        <f>#REF!</f>
        <v>#REF!</v>
      </c>
      <c r="B15" s="1" t="s">
        <v>34</v>
      </c>
      <c r="C15" s="1" t="s">
        <v>35</v>
      </c>
    </row>
    <row r="16" spans="1:4">
      <c r="A16" s="3" t="e">
        <f>#REF!</f>
        <v>#REF!</v>
      </c>
      <c r="B16" s="1" t="s">
        <v>34</v>
      </c>
      <c r="C16" s="1" t="s">
        <v>35</v>
      </c>
    </row>
    <row r="17" spans="1:3">
      <c r="A17" s="3" t="e">
        <f>#REF!</f>
        <v>#REF!</v>
      </c>
      <c r="B17" s="1" t="s">
        <v>35</v>
      </c>
      <c r="C17" s="1" t="s">
        <v>35</v>
      </c>
    </row>
    <row r="18" spans="1:3">
      <c r="A18" s="4" t="e">
        <f>#REF!</f>
        <v>#REF!</v>
      </c>
      <c r="B18" s="5"/>
      <c r="C18" s="5"/>
    </row>
    <row r="19" spans="1:3">
      <c r="A19" s="3" t="e">
        <f>#REF!</f>
        <v>#REF!</v>
      </c>
      <c r="B19" s="1" t="s">
        <v>35</v>
      </c>
      <c r="C19" s="1" t="s">
        <v>35</v>
      </c>
    </row>
    <row r="20" spans="1:3">
      <c r="A20" s="3" t="e">
        <f>#REF!</f>
        <v>#REF!</v>
      </c>
      <c r="B20" s="1" t="s">
        <v>34</v>
      </c>
      <c r="C20" s="1" t="s">
        <v>35</v>
      </c>
    </row>
    <row r="21" spans="1:3">
      <c r="A21" s="3" t="e">
        <f>#REF!</f>
        <v>#REF!</v>
      </c>
      <c r="B21" s="1" t="s">
        <v>34</v>
      </c>
      <c r="C21" s="1" t="s">
        <v>35</v>
      </c>
    </row>
    <row r="22" spans="1:3">
      <c r="A22" s="3" t="e">
        <f>#REF!</f>
        <v>#REF!</v>
      </c>
      <c r="B22" s="1" t="s">
        <v>34</v>
      </c>
      <c r="C22" s="1" t="s">
        <v>35</v>
      </c>
    </row>
    <row r="23" spans="1:3">
      <c r="A23" s="3" t="e">
        <f>#REF!</f>
        <v>#REF!</v>
      </c>
      <c r="B23" s="1" t="s">
        <v>34</v>
      </c>
      <c r="C23" s="1" t="s">
        <v>35</v>
      </c>
    </row>
    <row r="24" spans="1:3">
      <c r="A24" s="4" t="e">
        <f>#REF!</f>
        <v>#REF!</v>
      </c>
      <c r="B24" s="5"/>
      <c r="C24" s="5"/>
    </row>
    <row r="25" spans="1:3">
      <c r="A25" s="3" t="e">
        <f>#REF!</f>
        <v>#REF!</v>
      </c>
      <c r="B25" s="1" t="s">
        <v>35</v>
      </c>
      <c r="C25" s="1" t="s">
        <v>35</v>
      </c>
    </row>
    <row r="26" spans="1:3">
      <c r="A26" s="3" t="e">
        <f>#REF!</f>
        <v>#REF!</v>
      </c>
      <c r="B26" s="1" t="s">
        <v>34</v>
      </c>
      <c r="C26" s="1" t="s">
        <v>35</v>
      </c>
    </row>
    <row r="27" spans="1:3">
      <c r="A27" s="3" t="e">
        <f>#REF!</f>
        <v>#REF!</v>
      </c>
      <c r="B27" s="1" t="s">
        <v>34</v>
      </c>
      <c r="C27" s="1" t="s">
        <v>35</v>
      </c>
    </row>
    <row r="28" spans="1:3">
      <c r="A28" s="3" t="e">
        <f>#REF!</f>
        <v>#REF!</v>
      </c>
      <c r="B28" s="1" t="s">
        <v>34</v>
      </c>
      <c r="C28" s="1" t="s">
        <v>35</v>
      </c>
    </row>
    <row r="29" spans="1:3">
      <c r="A29" s="3" t="e">
        <f>#REF!</f>
        <v>#REF!</v>
      </c>
      <c r="B29" s="1" t="s">
        <v>34</v>
      </c>
      <c r="C29" s="1" t="s">
        <v>35</v>
      </c>
    </row>
    <row r="30" spans="1:3">
      <c r="A30" s="3" t="e">
        <f>#REF!</f>
        <v>#REF!</v>
      </c>
      <c r="B30" s="1" t="s">
        <v>34</v>
      </c>
      <c r="C30" s="1" t="s">
        <v>35</v>
      </c>
    </row>
    <row r="31" spans="1:3">
      <c r="A31" s="3" t="e">
        <f>#REF!</f>
        <v>#REF!</v>
      </c>
      <c r="B31" s="1" t="s">
        <v>34</v>
      </c>
      <c r="C31" s="1" t="s">
        <v>35</v>
      </c>
    </row>
    <row r="32" spans="1:3">
      <c r="A32" s="4" t="e">
        <f>#REF!</f>
        <v>#REF!</v>
      </c>
      <c r="B32" s="5"/>
      <c r="C32" s="5"/>
    </row>
    <row r="33" spans="1:4">
      <c r="A33" s="3" t="e">
        <f>#REF!</f>
        <v>#REF!</v>
      </c>
      <c r="B33" s="1" t="s">
        <v>35</v>
      </c>
      <c r="C33" s="1" t="s">
        <v>35</v>
      </c>
    </row>
    <row r="34" spans="1:4">
      <c r="A34" s="3" t="e">
        <f>#REF!</f>
        <v>#REF!</v>
      </c>
      <c r="B34" s="1" t="s">
        <v>34</v>
      </c>
      <c r="C34" s="1" t="s">
        <v>35</v>
      </c>
    </row>
    <row r="35" spans="1:4">
      <c r="A35" s="3" t="e">
        <f>#REF!</f>
        <v>#REF!</v>
      </c>
      <c r="B35" s="1" t="s">
        <v>34</v>
      </c>
      <c r="C35" s="1" t="s">
        <v>35</v>
      </c>
    </row>
    <row r="36" spans="1:4">
      <c r="A36" s="3" t="e">
        <f>#REF!</f>
        <v>#REF!</v>
      </c>
      <c r="B36" s="1" t="s">
        <v>34</v>
      </c>
      <c r="C36" s="1" t="s">
        <v>35</v>
      </c>
    </row>
    <row r="37" spans="1:4">
      <c r="A37" s="3" t="e">
        <f>#REF!</f>
        <v>#REF!</v>
      </c>
      <c r="B37" s="1" t="s">
        <v>34</v>
      </c>
      <c r="C37" s="1" t="s">
        <v>35</v>
      </c>
    </row>
    <row r="38" spans="1:4">
      <c r="A38" s="4" t="e">
        <f>#REF!</f>
        <v>#REF!</v>
      </c>
      <c r="B38" s="5"/>
      <c r="C38" s="5"/>
    </row>
    <row r="39" spans="1:4">
      <c r="A39" s="3" t="e">
        <f>#REF!</f>
        <v>#REF!</v>
      </c>
      <c r="B39" s="1" t="s">
        <v>35</v>
      </c>
      <c r="C39" s="1" t="s">
        <v>35</v>
      </c>
    </row>
    <row r="40" spans="1:4">
      <c r="A40" s="3" t="e">
        <f>#REF!</f>
        <v>#REF!</v>
      </c>
      <c r="B40" s="1" t="s">
        <v>34</v>
      </c>
      <c r="C40" s="1" t="s">
        <v>35</v>
      </c>
    </row>
    <row r="41" spans="1:4">
      <c r="A41" s="3" t="e">
        <f>#REF!</f>
        <v>#REF!</v>
      </c>
      <c r="B41" s="1" t="s">
        <v>34</v>
      </c>
      <c r="C41" s="1" t="s">
        <v>35</v>
      </c>
    </row>
    <row r="42" spans="1:4">
      <c r="A42" s="3" t="e">
        <f>#REF!</f>
        <v>#REF!</v>
      </c>
      <c r="B42" s="1" t="s">
        <v>35</v>
      </c>
      <c r="C42" s="1" t="s">
        <v>35</v>
      </c>
    </row>
    <row r="43" spans="1:4">
      <c r="A43" s="3" t="e">
        <f>#REF!</f>
        <v>#REF!</v>
      </c>
      <c r="B43" s="1" t="s">
        <v>34</v>
      </c>
      <c r="C43" s="1" t="s">
        <v>35</v>
      </c>
    </row>
    <row r="44" spans="1:4" ht="15.95" customHeight="1" thickBot="1">
      <c r="A44" s="2"/>
      <c r="B44" s="8"/>
      <c r="C44" s="8"/>
      <c r="D44" s="8"/>
    </row>
    <row r="45" spans="1:4" ht="30" customHeight="1" thickBot="1">
      <c r="A45" s="10" t="s">
        <v>36</v>
      </c>
      <c r="B45" s="20"/>
      <c r="C45" s="21"/>
      <c r="D45" s="19"/>
    </row>
    <row r="46" spans="1:4" ht="165.6" customHeight="1" thickBot="1">
      <c r="A46" s="11" t="s">
        <v>37</v>
      </c>
      <c r="B46" s="12" t="s">
        <v>38</v>
      </c>
      <c r="C46" s="13" t="s">
        <v>39</v>
      </c>
      <c r="D46" s="9" t="s">
        <v>40</v>
      </c>
    </row>
    <row r="47" spans="1:4">
      <c r="A47" s="14" t="e">
        <f>#REF!</f>
        <v>#REF!</v>
      </c>
      <c r="B47" s="15">
        <v>1</v>
      </c>
      <c r="C47" s="16">
        <v>-30</v>
      </c>
      <c r="D47" s="18" t="s">
        <v>41</v>
      </c>
    </row>
    <row r="48" spans="1:4">
      <c r="A48" s="14" t="e">
        <f>#REF!</f>
        <v>#REF!</v>
      </c>
      <c r="B48" s="82">
        <v>3</v>
      </c>
      <c r="C48" s="86">
        <v>-15</v>
      </c>
      <c r="D48" s="83" t="s">
        <v>42</v>
      </c>
    </row>
    <row r="49" spans="1:4">
      <c r="A49" s="14" t="e">
        <f>#REF!</f>
        <v>#REF!</v>
      </c>
      <c r="B49" s="92"/>
      <c r="C49" s="92"/>
      <c r="D49" s="92"/>
    </row>
    <row r="50" spans="1:4">
      <c r="A50" s="14" t="e">
        <f>#REF!</f>
        <v>#REF!</v>
      </c>
      <c r="B50" s="15">
        <v>4</v>
      </c>
      <c r="C50" s="16">
        <v>-3.75</v>
      </c>
      <c r="D50" s="17" t="s">
        <v>43</v>
      </c>
    </row>
    <row r="51" spans="1:4">
      <c r="A51" s="14" t="e">
        <f>#REF!</f>
        <v>#REF!</v>
      </c>
      <c r="B51" s="15">
        <v>4</v>
      </c>
      <c r="C51" s="16">
        <v>-2.25</v>
      </c>
      <c r="D51" s="17" t="s">
        <v>43</v>
      </c>
    </row>
  </sheetData>
  <sheetProtection password="C8B5" sheet="1" objects="1" scenarios="1"/>
  <mergeCells count="5">
    <mergeCell ref="A1:D1"/>
    <mergeCell ref="B48:B49"/>
    <mergeCell ref="D48:D49"/>
    <mergeCell ref="A2:D2"/>
    <mergeCell ref="C48:C49"/>
  </mergeCell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88"/>
  <sheetViews>
    <sheetView topLeftCell="A48" zoomScale="80" workbookViewId="0">
      <selection activeCell="J3" sqref="J3"/>
    </sheetView>
  </sheetViews>
  <sheetFormatPr defaultColWidth="7.109375" defaultRowHeight="12.6"/>
  <cols>
    <col min="1" max="1" width="0.6640625" style="26" customWidth="1"/>
    <col min="2" max="2" width="37.6640625" style="26" customWidth="1"/>
    <col min="3" max="3" width="16.5546875" style="26" customWidth="1"/>
    <col min="4" max="4" width="12.88671875" style="26" bestFit="1" customWidth="1"/>
    <col min="5" max="5" width="52.6640625" style="26" customWidth="1"/>
    <col min="6" max="6" width="1.21875" style="26" customWidth="1"/>
    <col min="7" max="7" width="20.21875" style="26" customWidth="1"/>
    <col min="8" max="9" width="7.109375" style="26" customWidth="1"/>
    <col min="10" max="16384" width="7.109375" style="26"/>
  </cols>
  <sheetData>
    <row r="2" spans="2:8">
      <c r="B2" s="42" t="s">
        <v>44</v>
      </c>
      <c r="C2" s="43">
        <v>46008</v>
      </c>
    </row>
    <row r="4" spans="2:8" ht="26.1" customHeight="1">
      <c r="B4" s="49" t="s">
        <v>45</v>
      </c>
      <c r="C4" s="49" t="s">
        <v>46</v>
      </c>
      <c r="D4" s="49" t="s">
        <v>47</v>
      </c>
      <c r="E4" s="49" t="s">
        <v>48</v>
      </c>
      <c r="G4" s="27" t="s">
        <v>49</v>
      </c>
      <c r="H4" s="28">
        <f>COUNTIF($C$5:$C$82, G4)</f>
        <v>77</v>
      </c>
    </row>
    <row r="5" spans="2:8">
      <c r="B5" s="29" t="s">
        <v>50</v>
      </c>
      <c r="C5" s="29" t="s">
        <v>49</v>
      </c>
      <c r="D5" s="29"/>
      <c r="E5" s="29" t="s">
        <v>51</v>
      </c>
      <c r="G5" s="27" t="s">
        <v>52</v>
      </c>
      <c r="H5" s="28">
        <f>COUNTIF($C$5:$C$82, G5)</f>
        <v>1</v>
      </c>
    </row>
    <row r="6" spans="2:8">
      <c r="B6" s="29" t="s">
        <v>53</v>
      </c>
      <c r="C6" s="29" t="s">
        <v>49</v>
      </c>
      <c r="D6" s="29"/>
      <c r="E6" s="29" t="s">
        <v>54</v>
      </c>
      <c r="G6" s="27" t="s">
        <v>55</v>
      </c>
      <c r="H6" s="28">
        <f>COUNTIF($C$5:$C$82, G6)</f>
        <v>0</v>
      </c>
    </row>
    <row r="7" spans="2:8">
      <c r="B7" s="29" t="s">
        <v>56</v>
      </c>
      <c r="C7" s="29" t="s">
        <v>49</v>
      </c>
      <c r="D7" s="29"/>
      <c r="E7" s="29" t="s">
        <v>57</v>
      </c>
      <c r="G7" s="27" t="s">
        <v>58</v>
      </c>
      <c r="H7" s="28">
        <f>COUNTIF($C$5:$C$82, G7)</f>
        <v>0</v>
      </c>
    </row>
    <row r="8" spans="2:8">
      <c r="B8" s="29" t="s">
        <v>59</v>
      </c>
      <c r="C8" s="29" t="s">
        <v>49</v>
      </c>
      <c r="D8" s="29"/>
      <c r="E8" s="29" t="s">
        <v>60</v>
      </c>
      <c r="G8" s="27" t="s">
        <v>61</v>
      </c>
      <c r="H8" s="28" t="str">
        <f>COUNTA(B5:B82)-H6 &amp;" / " &amp; COUNTA(B5:B82)</f>
        <v>78 / 78</v>
      </c>
    </row>
    <row r="9" spans="2:8">
      <c r="B9" s="29" t="s">
        <v>62</v>
      </c>
      <c r="C9" s="29" t="s">
        <v>49</v>
      </c>
      <c r="D9" s="29"/>
      <c r="E9" s="29" t="s">
        <v>63</v>
      </c>
    </row>
    <row r="10" spans="2:8">
      <c r="B10" s="29" t="s">
        <v>64</v>
      </c>
      <c r="C10" s="29" t="s">
        <v>49</v>
      </c>
      <c r="D10" s="29"/>
      <c r="E10" s="29" t="s">
        <v>65</v>
      </c>
    </row>
    <row r="11" spans="2:8">
      <c r="B11" s="29" t="s">
        <v>66</v>
      </c>
      <c r="C11" s="29" t="s">
        <v>49</v>
      </c>
      <c r="D11" s="29"/>
      <c r="E11" s="29" t="s">
        <v>67</v>
      </c>
    </row>
    <row r="12" spans="2:8">
      <c r="B12" s="29" t="s">
        <v>68</v>
      </c>
      <c r="C12" s="29" t="s">
        <v>49</v>
      </c>
      <c r="D12" s="29"/>
      <c r="E12" s="29" t="s">
        <v>69</v>
      </c>
    </row>
    <row r="13" spans="2:8">
      <c r="B13" s="29" t="s">
        <v>70</v>
      </c>
      <c r="C13" s="29" t="s">
        <v>49</v>
      </c>
      <c r="D13" s="29"/>
      <c r="E13" s="29" t="s">
        <v>71</v>
      </c>
    </row>
    <row r="14" spans="2:8">
      <c r="B14" s="29" t="s">
        <v>72</v>
      </c>
      <c r="C14" s="29" t="s">
        <v>49</v>
      </c>
      <c r="D14" s="29"/>
      <c r="E14" s="29" t="s">
        <v>73</v>
      </c>
    </row>
    <row r="15" spans="2:8">
      <c r="B15" s="29" t="s">
        <v>74</v>
      </c>
      <c r="C15" s="29" t="s">
        <v>49</v>
      </c>
      <c r="D15" s="29"/>
      <c r="E15" s="29" t="s">
        <v>75</v>
      </c>
    </row>
    <row r="16" spans="2:8">
      <c r="B16" s="29" t="s">
        <v>76</v>
      </c>
      <c r="C16" s="29" t="s">
        <v>49</v>
      </c>
      <c r="D16" s="29"/>
      <c r="E16" s="29" t="s">
        <v>77</v>
      </c>
    </row>
    <row r="17" spans="2:5">
      <c r="B17" s="29" t="s">
        <v>78</v>
      </c>
      <c r="C17" s="29" t="s">
        <v>49</v>
      </c>
      <c r="D17" s="29"/>
      <c r="E17" s="29" t="s">
        <v>79</v>
      </c>
    </row>
    <row r="18" spans="2:5">
      <c r="B18" s="29" t="s">
        <v>80</v>
      </c>
      <c r="C18" s="29" t="s">
        <v>49</v>
      </c>
      <c r="D18" s="29"/>
      <c r="E18" s="29" t="s">
        <v>81</v>
      </c>
    </row>
    <row r="19" spans="2:5">
      <c r="B19" s="29" t="s">
        <v>82</v>
      </c>
      <c r="C19" s="29" t="s">
        <v>49</v>
      </c>
      <c r="D19" s="29"/>
      <c r="E19" s="29" t="s">
        <v>83</v>
      </c>
    </row>
    <row r="20" spans="2:5">
      <c r="B20" s="29" t="s">
        <v>84</v>
      </c>
      <c r="C20" s="29" t="s">
        <v>49</v>
      </c>
      <c r="D20" s="29"/>
      <c r="E20" s="29" t="s">
        <v>85</v>
      </c>
    </row>
    <row r="21" spans="2:5">
      <c r="B21" s="29" t="s">
        <v>86</v>
      </c>
      <c r="C21" s="29" t="s">
        <v>49</v>
      </c>
      <c r="D21" s="29"/>
      <c r="E21" s="29" t="s">
        <v>87</v>
      </c>
    </row>
    <row r="22" spans="2:5">
      <c r="B22" s="29" t="s">
        <v>88</v>
      </c>
      <c r="C22" s="29" t="s">
        <v>49</v>
      </c>
      <c r="D22" s="29"/>
      <c r="E22" s="29" t="s">
        <v>89</v>
      </c>
    </row>
    <row r="23" spans="2:5">
      <c r="B23" s="29" t="s">
        <v>90</v>
      </c>
      <c r="C23" s="29" t="s">
        <v>49</v>
      </c>
      <c r="D23" s="29"/>
      <c r="E23" s="29" t="s">
        <v>91</v>
      </c>
    </row>
    <row r="24" spans="2:5">
      <c r="B24" s="29" t="s">
        <v>92</v>
      </c>
      <c r="C24" s="29" t="s">
        <v>49</v>
      </c>
      <c r="D24" s="29"/>
      <c r="E24" s="29" t="s">
        <v>93</v>
      </c>
    </row>
    <row r="25" spans="2:5">
      <c r="B25" s="29" t="s">
        <v>94</v>
      </c>
      <c r="C25" s="29" t="s">
        <v>49</v>
      </c>
      <c r="D25" s="29"/>
      <c r="E25" s="29" t="s">
        <v>95</v>
      </c>
    </row>
    <row r="26" spans="2:5">
      <c r="B26" s="29" t="s">
        <v>96</v>
      </c>
      <c r="C26" s="29" t="s">
        <v>49</v>
      </c>
      <c r="D26" s="29"/>
      <c r="E26" s="29" t="s">
        <v>97</v>
      </c>
    </row>
    <row r="27" spans="2:5">
      <c r="B27" s="29" t="s">
        <v>98</v>
      </c>
      <c r="C27" s="29" t="s">
        <v>49</v>
      </c>
      <c r="D27" s="29"/>
      <c r="E27" s="29" t="s">
        <v>99</v>
      </c>
    </row>
    <row r="28" spans="2:5">
      <c r="B28" s="29" t="s">
        <v>100</v>
      </c>
      <c r="C28" s="29" t="s">
        <v>49</v>
      </c>
      <c r="D28" s="29"/>
      <c r="E28" s="29" t="s">
        <v>101</v>
      </c>
    </row>
    <row r="29" spans="2:5" ht="15.6" customHeight="1">
      <c r="B29" s="45" t="s">
        <v>102</v>
      </c>
      <c r="C29" s="29" t="s">
        <v>49</v>
      </c>
      <c r="D29" s="29"/>
      <c r="E29" s="48" t="s">
        <v>103</v>
      </c>
    </row>
    <row r="30" spans="2:5" ht="15.6" customHeight="1">
      <c r="B30" s="48" t="s">
        <v>104</v>
      </c>
      <c r="C30" s="29" t="s">
        <v>49</v>
      </c>
      <c r="D30" s="29"/>
      <c r="E30" s="48" t="s">
        <v>105</v>
      </c>
    </row>
    <row r="31" spans="2:5" ht="15.6" customHeight="1">
      <c r="B31" s="48" t="s">
        <v>106</v>
      </c>
      <c r="C31" s="29" t="s">
        <v>49</v>
      </c>
      <c r="D31" s="29"/>
      <c r="E31" s="48" t="s">
        <v>107</v>
      </c>
    </row>
    <row r="32" spans="2:5" ht="15.6" customHeight="1">
      <c r="B32" s="48" t="s">
        <v>108</v>
      </c>
      <c r="C32" s="29" t="s">
        <v>49</v>
      </c>
      <c r="D32" s="29"/>
      <c r="E32" s="48" t="s">
        <v>109</v>
      </c>
    </row>
    <row r="33" spans="2:5" ht="15.6" customHeight="1">
      <c r="B33" s="48" t="s">
        <v>110</v>
      </c>
      <c r="C33" s="29" t="s">
        <v>49</v>
      </c>
      <c r="D33" s="29"/>
      <c r="E33" s="48" t="s">
        <v>111</v>
      </c>
    </row>
    <row r="34" spans="2:5" ht="15.6" customHeight="1">
      <c r="B34" s="48" t="s">
        <v>112</v>
      </c>
      <c r="C34" s="29" t="s">
        <v>49</v>
      </c>
      <c r="D34" s="29"/>
      <c r="E34" s="48" t="s">
        <v>113</v>
      </c>
    </row>
    <row r="35" spans="2:5" ht="15.6" customHeight="1">
      <c r="B35" s="48" t="s">
        <v>114</v>
      </c>
      <c r="C35" s="29" t="s">
        <v>49</v>
      </c>
      <c r="D35" s="29"/>
      <c r="E35" s="48" t="s">
        <v>115</v>
      </c>
    </row>
    <row r="36" spans="2:5" ht="15.6" customHeight="1">
      <c r="B36" s="48" t="s">
        <v>116</v>
      </c>
      <c r="C36" s="29" t="s">
        <v>49</v>
      </c>
      <c r="D36" s="29"/>
      <c r="E36" s="48" t="s">
        <v>117</v>
      </c>
    </row>
    <row r="37" spans="2:5" ht="15.6" customHeight="1">
      <c r="B37" s="48" t="s">
        <v>118</v>
      </c>
      <c r="C37" s="29" t="s">
        <v>49</v>
      </c>
      <c r="D37" s="29"/>
      <c r="E37" s="48" t="s">
        <v>119</v>
      </c>
    </row>
    <row r="38" spans="2:5" ht="15.6" customHeight="1">
      <c r="B38" s="48" t="s">
        <v>120</v>
      </c>
      <c r="C38" s="29" t="s">
        <v>49</v>
      </c>
      <c r="D38" s="29"/>
      <c r="E38" s="48" t="s">
        <v>121</v>
      </c>
    </row>
    <row r="39" spans="2:5" ht="15.6" customHeight="1">
      <c r="B39" s="48" t="s">
        <v>122</v>
      </c>
      <c r="C39" s="29" t="s">
        <v>49</v>
      </c>
      <c r="D39" s="29"/>
      <c r="E39" s="48" t="s">
        <v>123</v>
      </c>
    </row>
    <row r="40" spans="2:5" ht="15.6" customHeight="1">
      <c r="B40" s="48" t="s">
        <v>124</v>
      </c>
      <c r="C40" s="29" t="s">
        <v>49</v>
      </c>
      <c r="D40" s="29"/>
      <c r="E40" s="48" t="s">
        <v>125</v>
      </c>
    </row>
    <row r="41" spans="2:5" ht="15.6" customHeight="1">
      <c r="B41" s="48" t="s">
        <v>126</v>
      </c>
      <c r="C41" s="29" t="s">
        <v>49</v>
      </c>
      <c r="D41" s="29"/>
      <c r="E41" s="48" t="s">
        <v>127</v>
      </c>
    </row>
    <row r="42" spans="2:5" ht="15.6" customHeight="1">
      <c r="B42" s="48" t="s">
        <v>128</v>
      </c>
      <c r="C42" s="29" t="s">
        <v>49</v>
      </c>
      <c r="D42" s="29"/>
      <c r="E42" s="48" t="s">
        <v>129</v>
      </c>
    </row>
    <row r="43" spans="2:5" ht="15.6" customHeight="1">
      <c r="B43" s="48" t="s">
        <v>130</v>
      </c>
      <c r="C43" s="29" t="s">
        <v>49</v>
      </c>
      <c r="D43" s="29"/>
      <c r="E43" s="48" t="s">
        <v>131</v>
      </c>
    </row>
    <row r="44" spans="2:5" ht="15.6" customHeight="1">
      <c r="B44" s="48" t="s">
        <v>132</v>
      </c>
      <c r="C44" s="29" t="s">
        <v>49</v>
      </c>
      <c r="D44" s="29"/>
      <c r="E44" s="48" t="s">
        <v>133</v>
      </c>
    </row>
    <row r="45" spans="2:5" ht="15.6" customHeight="1">
      <c r="B45" s="48" t="s">
        <v>134</v>
      </c>
      <c r="C45" s="29" t="s">
        <v>49</v>
      </c>
      <c r="D45" s="29"/>
      <c r="E45" s="48" t="s">
        <v>135</v>
      </c>
    </row>
    <row r="46" spans="2:5" ht="15.6" customHeight="1">
      <c r="B46" s="48" t="s">
        <v>136</v>
      </c>
      <c r="C46" s="29" t="s">
        <v>49</v>
      </c>
      <c r="D46" s="29"/>
      <c r="E46" s="48" t="s">
        <v>137</v>
      </c>
    </row>
    <row r="47" spans="2:5" ht="15.6" customHeight="1">
      <c r="B47" s="48" t="s">
        <v>138</v>
      </c>
      <c r="C47" s="29" t="s">
        <v>49</v>
      </c>
      <c r="D47" s="29"/>
      <c r="E47" s="48" t="s">
        <v>139</v>
      </c>
    </row>
    <row r="48" spans="2:5" ht="15.6" customHeight="1">
      <c r="B48" s="48" t="s">
        <v>140</v>
      </c>
      <c r="C48" s="29" t="s">
        <v>49</v>
      </c>
      <c r="D48" s="29"/>
      <c r="E48" s="48" t="s">
        <v>141</v>
      </c>
    </row>
    <row r="49" spans="2:5" ht="15.6" customHeight="1">
      <c r="B49" s="48" t="s">
        <v>142</v>
      </c>
      <c r="C49" s="29" t="s">
        <v>49</v>
      </c>
      <c r="D49" s="29"/>
      <c r="E49" s="48" t="s">
        <v>143</v>
      </c>
    </row>
    <row r="50" spans="2:5" ht="15.6" customHeight="1">
      <c r="B50" s="48" t="s">
        <v>144</v>
      </c>
      <c r="C50" s="29" t="s">
        <v>49</v>
      </c>
      <c r="D50" s="29"/>
      <c r="E50" s="48" t="s">
        <v>145</v>
      </c>
    </row>
    <row r="51" spans="2:5" ht="15.6" customHeight="1">
      <c r="B51" s="48" t="s">
        <v>146</v>
      </c>
      <c r="C51" s="29" t="s">
        <v>49</v>
      </c>
      <c r="D51" s="29"/>
      <c r="E51" s="48" t="s">
        <v>147</v>
      </c>
    </row>
    <row r="52" spans="2:5" ht="15.6" customHeight="1">
      <c r="B52" s="48" t="s">
        <v>148</v>
      </c>
      <c r="C52" s="29" t="s">
        <v>49</v>
      </c>
      <c r="D52" s="29"/>
      <c r="E52" s="48" t="s">
        <v>149</v>
      </c>
    </row>
    <row r="53" spans="2:5" ht="15.6" customHeight="1">
      <c r="B53" s="48" t="s">
        <v>150</v>
      </c>
      <c r="C53" s="29" t="s">
        <v>49</v>
      </c>
      <c r="D53" s="29"/>
      <c r="E53" s="48" t="s">
        <v>151</v>
      </c>
    </row>
    <row r="54" spans="2:5" ht="15.6" customHeight="1">
      <c r="B54" s="48" t="s">
        <v>152</v>
      </c>
      <c r="C54" s="29" t="s">
        <v>49</v>
      </c>
      <c r="D54" s="29"/>
      <c r="E54" s="48" t="s">
        <v>153</v>
      </c>
    </row>
    <row r="55" spans="2:5" ht="15.6" customHeight="1">
      <c r="B55" s="48" t="s">
        <v>154</v>
      </c>
      <c r="C55" s="29" t="s">
        <v>49</v>
      </c>
      <c r="D55" s="29"/>
      <c r="E55" s="48" t="s">
        <v>155</v>
      </c>
    </row>
    <row r="56" spans="2:5" ht="15.6" customHeight="1">
      <c r="B56" s="48" t="s">
        <v>156</v>
      </c>
      <c r="C56" s="29" t="s">
        <v>49</v>
      </c>
      <c r="D56" s="29"/>
      <c r="E56" s="48" t="s">
        <v>157</v>
      </c>
    </row>
    <row r="57" spans="2:5" ht="15.6" customHeight="1">
      <c r="B57" s="48" t="s">
        <v>158</v>
      </c>
      <c r="C57" s="29" t="s">
        <v>49</v>
      </c>
      <c r="D57" s="29"/>
      <c r="E57" s="48" t="s">
        <v>159</v>
      </c>
    </row>
    <row r="58" spans="2:5" ht="15.6" customHeight="1">
      <c r="B58" s="48" t="s">
        <v>160</v>
      </c>
      <c r="C58" s="29" t="s">
        <v>49</v>
      </c>
      <c r="D58" s="29"/>
      <c r="E58" s="48" t="s">
        <v>161</v>
      </c>
    </row>
    <row r="59" spans="2:5" ht="15.6" customHeight="1">
      <c r="B59" s="48" t="s">
        <v>162</v>
      </c>
      <c r="C59" s="29" t="s">
        <v>49</v>
      </c>
      <c r="D59" s="29"/>
      <c r="E59" s="48" t="s">
        <v>163</v>
      </c>
    </row>
    <row r="60" spans="2:5" ht="15.6" customHeight="1">
      <c r="B60" s="48" t="s">
        <v>164</v>
      </c>
      <c r="C60" s="29" t="s">
        <v>49</v>
      </c>
      <c r="D60" s="29"/>
      <c r="E60" s="48" t="s">
        <v>165</v>
      </c>
    </row>
    <row r="61" spans="2:5" ht="15.6" customHeight="1">
      <c r="B61" s="48" t="s">
        <v>166</v>
      </c>
      <c r="C61" s="29" t="s">
        <v>49</v>
      </c>
      <c r="D61" s="29"/>
      <c r="E61" s="48" t="s">
        <v>167</v>
      </c>
    </row>
    <row r="62" spans="2:5" ht="15.6" customHeight="1">
      <c r="B62" s="48" t="s">
        <v>168</v>
      </c>
      <c r="C62" s="29" t="s">
        <v>49</v>
      </c>
      <c r="D62" s="29"/>
      <c r="E62" s="48" t="s">
        <v>169</v>
      </c>
    </row>
    <row r="63" spans="2:5" ht="15.6" customHeight="1">
      <c r="B63" s="48" t="s">
        <v>170</v>
      </c>
      <c r="C63" s="29" t="s">
        <v>49</v>
      </c>
      <c r="D63" s="29"/>
      <c r="E63" s="48" t="s">
        <v>171</v>
      </c>
    </row>
    <row r="64" spans="2:5" ht="15.6" customHeight="1">
      <c r="B64" s="48" t="s">
        <v>172</v>
      </c>
      <c r="C64" s="29" t="s">
        <v>49</v>
      </c>
      <c r="D64" s="29"/>
      <c r="E64" s="48" t="s">
        <v>173</v>
      </c>
    </row>
    <row r="65" spans="2:5" ht="15.6" customHeight="1">
      <c r="B65" s="48" t="s">
        <v>174</v>
      </c>
      <c r="C65" s="29" t="s">
        <v>49</v>
      </c>
      <c r="D65" s="29"/>
      <c r="E65" s="48" t="s">
        <v>175</v>
      </c>
    </row>
    <row r="66" spans="2:5" ht="15.6" customHeight="1">
      <c r="B66" s="48" t="s">
        <v>176</v>
      </c>
      <c r="C66" s="29" t="s">
        <v>49</v>
      </c>
      <c r="D66" s="29"/>
      <c r="E66" s="48" t="s">
        <v>177</v>
      </c>
    </row>
    <row r="67" spans="2:5" ht="15.6" customHeight="1">
      <c r="B67" s="48" t="s">
        <v>178</v>
      </c>
      <c r="C67" s="29" t="s">
        <v>49</v>
      </c>
      <c r="D67" s="29"/>
      <c r="E67" s="48" t="s">
        <v>179</v>
      </c>
    </row>
    <row r="68" spans="2:5" ht="15.6" customHeight="1">
      <c r="B68" s="48" t="s">
        <v>180</v>
      </c>
      <c r="C68" s="29" t="s">
        <v>49</v>
      </c>
      <c r="D68" s="29"/>
      <c r="E68" s="48" t="s">
        <v>181</v>
      </c>
    </row>
    <row r="69" spans="2:5" ht="15.6" customHeight="1">
      <c r="B69" s="48" t="s">
        <v>182</v>
      </c>
      <c r="C69" s="29" t="s">
        <v>49</v>
      </c>
      <c r="D69" s="29"/>
      <c r="E69" s="48" t="s">
        <v>183</v>
      </c>
    </row>
    <row r="70" spans="2:5" ht="15.6" customHeight="1">
      <c r="B70" s="48" t="s">
        <v>184</v>
      </c>
      <c r="C70" s="29" t="s">
        <v>49</v>
      </c>
      <c r="D70" s="29"/>
      <c r="E70" s="48" t="s">
        <v>185</v>
      </c>
    </row>
    <row r="71" spans="2:5" ht="15.6" customHeight="1">
      <c r="B71" s="48" t="s">
        <v>186</v>
      </c>
      <c r="C71" s="29" t="s">
        <v>49</v>
      </c>
      <c r="D71" s="29"/>
      <c r="E71" s="48" t="s">
        <v>187</v>
      </c>
    </row>
    <row r="72" spans="2:5" ht="15.6" customHeight="1">
      <c r="B72" s="48" t="s">
        <v>188</v>
      </c>
      <c r="C72" s="29" t="s">
        <v>49</v>
      </c>
      <c r="D72" s="29"/>
      <c r="E72" s="48" t="s">
        <v>189</v>
      </c>
    </row>
    <row r="73" spans="2:5" ht="15.6" customHeight="1">
      <c r="B73" s="48" t="s">
        <v>190</v>
      </c>
      <c r="C73" s="29" t="s">
        <v>49</v>
      </c>
      <c r="D73" s="29"/>
      <c r="E73" s="48" t="s">
        <v>191</v>
      </c>
    </row>
    <row r="74" spans="2:5" ht="15.6" customHeight="1">
      <c r="B74" s="48" t="s">
        <v>192</v>
      </c>
      <c r="C74" s="29" t="s">
        <v>49</v>
      </c>
      <c r="D74" s="29"/>
      <c r="E74" s="48" t="s">
        <v>193</v>
      </c>
    </row>
    <row r="75" spans="2:5" ht="15.6" customHeight="1">
      <c r="B75" s="48" t="s">
        <v>194</v>
      </c>
      <c r="C75" s="29" t="s">
        <v>49</v>
      </c>
      <c r="D75" s="29"/>
      <c r="E75" s="48" t="s">
        <v>195</v>
      </c>
    </row>
    <row r="76" spans="2:5" ht="15.6" customHeight="1">
      <c r="B76" s="48" t="s">
        <v>196</v>
      </c>
      <c r="C76" s="29" t="s">
        <v>49</v>
      </c>
      <c r="D76" s="29"/>
      <c r="E76" s="48" t="s">
        <v>197</v>
      </c>
    </row>
    <row r="77" spans="2:5" ht="15.6" customHeight="1">
      <c r="B77" s="48" t="s">
        <v>198</v>
      </c>
      <c r="C77" s="29" t="s">
        <v>49</v>
      </c>
      <c r="D77" s="29"/>
      <c r="E77" s="48" t="s">
        <v>199</v>
      </c>
    </row>
    <row r="78" spans="2:5" ht="15.6" customHeight="1">
      <c r="B78" s="48" t="s">
        <v>200</v>
      </c>
      <c r="C78" s="29" t="s">
        <v>49</v>
      </c>
      <c r="D78" s="29"/>
      <c r="E78" s="48" t="s">
        <v>201</v>
      </c>
    </row>
    <row r="79" spans="2:5" ht="15.6" customHeight="1">
      <c r="B79" s="48" t="s">
        <v>202</v>
      </c>
      <c r="C79" s="29" t="s">
        <v>52</v>
      </c>
      <c r="D79" s="48" t="s">
        <v>203</v>
      </c>
      <c r="E79" s="48" t="s">
        <v>204</v>
      </c>
    </row>
    <row r="80" spans="2:5" ht="15.6" customHeight="1">
      <c r="B80" s="48" t="s">
        <v>205</v>
      </c>
      <c r="C80" s="29" t="s">
        <v>49</v>
      </c>
      <c r="D80" s="29"/>
      <c r="E80" s="48" t="s">
        <v>206</v>
      </c>
    </row>
    <row r="81" spans="2:5" ht="15.6" customHeight="1">
      <c r="B81" s="48" t="s">
        <v>207</v>
      </c>
      <c r="C81" s="29" t="s">
        <v>49</v>
      </c>
      <c r="D81" s="29"/>
      <c r="E81" s="48" t="s">
        <v>208</v>
      </c>
    </row>
    <row r="82" spans="2:5" ht="15.6" customHeight="1">
      <c r="B82" s="48" t="s">
        <v>209</v>
      </c>
      <c r="C82" s="29" t="s">
        <v>49</v>
      </c>
      <c r="D82" s="29"/>
      <c r="E82" s="48" t="s">
        <v>210</v>
      </c>
    </row>
    <row r="83" spans="2:5" ht="15.6" customHeight="1"/>
    <row r="84" spans="2:5" ht="15.6" customHeight="1"/>
    <row r="85" spans="2:5" ht="15.6" customHeight="1"/>
    <row r="86" spans="2:5" ht="15.6" customHeight="1"/>
    <row r="87" spans="2:5" ht="15.6" customHeight="1"/>
    <row r="88" spans="2:5" ht="15.6" customHeight="1"/>
  </sheetData>
  <dataValidations count="1">
    <dataValidation type="list" allowBlank="1" showInputMessage="1" showErrorMessage="1" sqref="C5:C82" xr:uid="{00000000-0002-0000-0100-000000000000}">
      <formula1>"Passed, Failed, Not Run, Blocked"</formula1>
    </dataValidation>
  </dataValidations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3"/>
  <sheetViews>
    <sheetView topLeftCell="E3" workbookViewId="0"/>
  </sheetViews>
  <sheetFormatPr defaultRowHeight="15"/>
  <cols>
    <col min="1" max="1" width="18" customWidth="1"/>
    <col min="2" max="2" width="55" customWidth="1"/>
    <col min="3" max="3" width="14" customWidth="1"/>
    <col min="4" max="4" width="16" customWidth="1"/>
    <col min="5" max="5" width="20" customWidth="1"/>
    <col min="6" max="6" width="55" customWidth="1"/>
  </cols>
  <sheetData>
    <row r="1" spans="1:6" ht="15.6">
      <c r="B1" s="50" t="s">
        <v>44</v>
      </c>
      <c r="C1" s="46">
        <v>46008</v>
      </c>
    </row>
    <row r="4" spans="1:6" ht="15.6">
      <c r="A4" s="51" t="s">
        <v>211</v>
      </c>
      <c r="B4" s="51" t="s">
        <v>212</v>
      </c>
      <c r="C4" s="51" t="s">
        <v>213</v>
      </c>
      <c r="D4" s="51" t="s">
        <v>46</v>
      </c>
      <c r="E4" s="51" t="s">
        <v>214</v>
      </c>
      <c r="F4" s="51" t="s">
        <v>48</v>
      </c>
    </row>
    <row r="5" spans="1:6" ht="15.6">
      <c r="A5" s="47" t="s">
        <v>215</v>
      </c>
      <c r="B5" s="47" t="s">
        <v>216</v>
      </c>
      <c r="C5" s="47" t="s">
        <v>217</v>
      </c>
      <c r="D5" s="47" t="s">
        <v>49</v>
      </c>
      <c r="E5" s="47"/>
      <c r="F5" s="47" t="s">
        <v>51</v>
      </c>
    </row>
    <row r="6" spans="1:6" ht="15.6">
      <c r="A6" s="47" t="s">
        <v>218</v>
      </c>
      <c r="B6" s="47" t="s">
        <v>219</v>
      </c>
      <c r="C6" s="47" t="s">
        <v>217</v>
      </c>
      <c r="D6" s="47" t="s">
        <v>49</v>
      </c>
      <c r="E6" s="47"/>
      <c r="F6" s="47" t="s">
        <v>54</v>
      </c>
    </row>
    <row r="7" spans="1:6" ht="15.6">
      <c r="A7" s="47" t="s">
        <v>220</v>
      </c>
      <c r="B7" s="47" t="s">
        <v>221</v>
      </c>
      <c r="C7" s="47" t="s">
        <v>217</v>
      </c>
      <c r="D7" s="47" t="s">
        <v>49</v>
      </c>
      <c r="E7" s="47"/>
      <c r="F7" s="47" t="s">
        <v>57</v>
      </c>
    </row>
    <row r="8" spans="1:6" ht="15.6">
      <c r="A8" s="47" t="s">
        <v>222</v>
      </c>
      <c r="B8" s="47" t="s">
        <v>223</v>
      </c>
      <c r="C8" s="47" t="s">
        <v>217</v>
      </c>
      <c r="D8" s="47" t="s">
        <v>49</v>
      </c>
      <c r="E8" s="47"/>
      <c r="F8" s="47" t="s">
        <v>60</v>
      </c>
    </row>
    <row r="9" spans="1:6" ht="15.6">
      <c r="A9" s="47" t="s">
        <v>224</v>
      </c>
      <c r="B9" s="47" t="s">
        <v>225</v>
      </c>
      <c r="C9" s="47" t="s">
        <v>217</v>
      </c>
      <c r="D9" s="47" t="s">
        <v>49</v>
      </c>
      <c r="E9" s="47"/>
      <c r="F9" s="47" t="s">
        <v>63</v>
      </c>
    </row>
    <row r="10" spans="1:6" ht="15.6">
      <c r="A10" s="47" t="s">
        <v>226</v>
      </c>
      <c r="B10" s="47" t="s">
        <v>227</v>
      </c>
      <c r="C10" s="47" t="s">
        <v>217</v>
      </c>
      <c r="D10" s="47" t="s">
        <v>49</v>
      </c>
      <c r="E10" s="47"/>
      <c r="F10" s="47" t="s">
        <v>65</v>
      </c>
    </row>
    <row r="11" spans="1:6" ht="15.6">
      <c r="A11" s="47" t="s">
        <v>228</v>
      </c>
      <c r="B11" s="47" t="s">
        <v>229</v>
      </c>
      <c r="C11" s="47" t="s">
        <v>217</v>
      </c>
      <c r="D11" s="47" t="s">
        <v>49</v>
      </c>
      <c r="E11" s="47"/>
      <c r="F11" s="47" t="s">
        <v>67</v>
      </c>
    </row>
    <row r="12" spans="1:6" ht="15.6">
      <c r="A12" s="47" t="s">
        <v>230</v>
      </c>
      <c r="B12" s="47" t="s">
        <v>231</v>
      </c>
      <c r="C12" s="47" t="s">
        <v>232</v>
      </c>
      <c r="D12" s="47" t="s">
        <v>49</v>
      </c>
      <c r="E12" s="47"/>
      <c r="F12" s="47" t="s">
        <v>69</v>
      </c>
    </row>
    <row r="13" spans="1:6" ht="15.6">
      <c r="A13" s="47" t="s">
        <v>233</v>
      </c>
      <c r="B13" s="47" t="s">
        <v>234</v>
      </c>
      <c r="C13" s="47" t="s">
        <v>232</v>
      </c>
      <c r="D13" s="47" t="s">
        <v>49</v>
      </c>
      <c r="E13" s="47"/>
      <c r="F13" s="47" t="s">
        <v>71</v>
      </c>
    </row>
    <row r="14" spans="1:6" ht="15.6">
      <c r="A14" s="47" t="s">
        <v>235</v>
      </c>
      <c r="B14" s="47" t="s">
        <v>236</v>
      </c>
      <c r="C14" s="47" t="s">
        <v>232</v>
      </c>
      <c r="D14" s="47" t="s">
        <v>49</v>
      </c>
      <c r="E14" s="47"/>
      <c r="F14" s="47" t="s">
        <v>73</v>
      </c>
    </row>
    <row r="15" spans="1:6" ht="15.6">
      <c r="A15" s="47" t="s">
        <v>237</v>
      </c>
      <c r="B15" s="47" t="s">
        <v>238</v>
      </c>
      <c r="C15" s="47" t="s">
        <v>232</v>
      </c>
      <c r="D15" s="47" t="s">
        <v>49</v>
      </c>
      <c r="E15" s="47"/>
      <c r="F15" s="47" t="s">
        <v>75</v>
      </c>
    </row>
    <row r="16" spans="1:6" ht="15.6">
      <c r="A16" s="47" t="s">
        <v>239</v>
      </c>
      <c r="B16" s="47" t="s">
        <v>240</v>
      </c>
      <c r="C16" s="47" t="s">
        <v>232</v>
      </c>
      <c r="D16" s="47" t="s">
        <v>49</v>
      </c>
      <c r="E16" s="47"/>
      <c r="F16" s="47" t="s">
        <v>77</v>
      </c>
    </row>
    <row r="17" spans="1:6" ht="15.6">
      <c r="A17" s="47" t="s">
        <v>241</v>
      </c>
      <c r="B17" s="47" t="s">
        <v>242</v>
      </c>
      <c r="C17" s="47" t="s">
        <v>232</v>
      </c>
      <c r="D17" s="47" t="s">
        <v>49</v>
      </c>
      <c r="E17" s="47"/>
      <c r="F17" s="47" t="s">
        <v>79</v>
      </c>
    </row>
    <row r="18" spans="1:6" ht="15.6">
      <c r="A18" s="47" t="s">
        <v>243</v>
      </c>
      <c r="B18" s="47" t="s">
        <v>244</v>
      </c>
      <c r="C18" s="47" t="s">
        <v>232</v>
      </c>
      <c r="D18" s="47" t="s">
        <v>49</v>
      </c>
      <c r="E18" s="47"/>
      <c r="F18" s="47" t="s">
        <v>81</v>
      </c>
    </row>
    <row r="19" spans="1:6" ht="15.6">
      <c r="A19" s="47" t="s">
        <v>245</v>
      </c>
      <c r="B19" s="47" t="s">
        <v>246</v>
      </c>
      <c r="C19" s="47" t="s">
        <v>232</v>
      </c>
      <c r="D19" s="47" t="s">
        <v>49</v>
      </c>
      <c r="E19" s="47"/>
      <c r="F19" s="47" t="s">
        <v>83</v>
      </c>
    </row>
    <row r="20" spans="1:6" ht="15.6">
      <c r="A20" s="47" t="s">
        <v>247</v>
      </c>
      <c r="B20" s="47" t="s">
        <v>248</v>
      </c>
      <c r="C20" s="47" t="s">
        <v>232</v>
      </c>
      <c r="D20" s="47" t="s">
        <v>49</v>
      </c>
      <c r="E20" s="47"/>
      <c r="F20" s="47" t="s">
        <v>85</v>
      </c>
    </row>
    <row r="21" spans="1:6" ht="15.6">
      <c r="A21" s="47" t="s">
        <v>249</v>
      </c>
      <c r="B21" s="47" t="s">
        <v>250</v>
      </c>
      <c r="C21" s="47" t="s">
        <v>217</v>
      </c>
      <c r="D21" s="47" t="s">
        <v>49</v>
      </c>
      <c r="E21" s="47"/>
      <c r="F21" s="47" t="s">
        <v>87</v>
      </c>
    </row>
    <row r="22" spans="1:6" ht="15.6">
      <c r="A22" s="47" t="s">
        <v>251</v>
      </c>
      <c r="B22" s="47" t="s">
        <v>252</v>
      </c>
      <c r="C22" s="47" t="s">
        <v>217</v>
      </c>
      <c r="D22" s="47" t="s">
        <v>49</v>
      </c>
      <c r="E22" s="47"/>
      <c r="F22" s="47" t="s">
        <v>89</v>
      </c>
    </row>
    <row r="23" spans="1:6" ht="15.6">
      <c r="A23" s="47" t="s">
        <v>253</v>
      </c>
      <c r="B23" s="47" t="s">
        <v>254</v>
      </c>
      <c r="C23" s="47" t="s">
        <v>217</v>
      </c>
      <c r="D23" s="47" t="s">
        <v>49</v>
      </c>
      <c r="E23" s="47"/>
      <c r="F23" s="47" t="s">
        <v>91</v>
      </c>
    </row>
    <row r="24" spans="1:6" ht="15.6">
      <c r="A24" s="47" t="s">
        <v>255</v>
      </c>
      <c r="B24" s="47" t="s">
        <v>256</v>
      </c>
      <c r="C24" s="47" t="s">
        <v>217</v>
      </c>
      <c r="D24" s="47" t="s">
        <v>49</v>
      </c>
      <c r="E24" s="47"/>
      <c r="F24" s="47" t="s">
        <v>93</v>
      </c>
    </row>
    <row r="25" spans="1:6" ht="15.6">
      <c r="A25" s="47" t="s">
        <v>257</v>
      </c>
      <c r="B25" s="47" t="s">
        <v>258</v>
      </c>
      <c r="C25" s="47" t="s">
        <v>217</v>
      </c>
      <c r="D25" s="47" t="s">
        <v>49</v>
      </c>
      <c r="E25" s="47"/>
      <c r="F25" s="47" t="s">
        <v>95</v>
      </c>
    </row>
    <row r="26" spans="1:6" ht="15.6">
      <c r="A26" s="47" t="s">
        <v>259</v>
      </c>
      <c r="B26" s="47" t="s">
        <v>260</v>
      </c>
      <c r="C26" s="47" t="s">
        <v>217</v>
      </c>
      <c r="D26" s="47" t="s">
        <v>49</v>
      </c>
      <c r="E26" s="47"/>
      <c r="F26" s="47" t="s">
        <v>97</v>
      </c>
    </row>
    <row r="27" spans="1:6" ht="15.6">
      <c r="A27" s="47" t="s">
        <v>261</v>
      </c>
      <c r="B27" s="47" t="s">
        <v>262</v>
      </c>
      <c r="C27" s="47" t="s">
        <v>217</v>
      </c>
      <c r="D27" s="47" t="s">
        <v>49</v>
      </c>
      <c r="E27" s="47"/>
      <c r="F27" s="47" t="s">
        <v>99</v>
      </c>
    </row>
    <row r="28" spans="1:6" ht="15.6">
      <c r="A28" s="47" t="s">
        <v>263</v>
      </c>
      <c r="B28" s="47" t="s">
        <v>264</v>
      </c>
      <c r="C28" s="47" t="s">
        <v>232</v>
      </c>
      <c r="D28" s="47" t="s">
        <v>49</v>
      </c>
      <c r="E28" s="47"/>
      <c r="F28" s="47" t="s">
        <v>101</v>
      </c>
    </row>
    <row r="29" spans="1:6" ht="15.6">
      <c r="A29" s="47" t="s">
        <v>265</v>
      </c>
      <c r="B29" s="47" t="s">
        <v>266</v>
      </c>
      <c r="C29" s="47" t="s">
        <v>232</v>
      </c>
      <c r="D29" s="47" t="s">
        <v>49</v>
      </c>
      <c r="E29" s="47"/>
      <c r="F29" s="47" t="s">
        <v>103</v>
      </c>
    </row>
    <row r="30" spans="1:6" ht="15.6">
      <c r="A30" s="47" t="s">
        <v>267</v>
      </c>
      <c r="B30" s="47" t="s">
        <v>268</v>
      </c>
      <c r="C30" s="47" t="s">
        <v>232</v>
      </c>
      <c r="D30" s="47" t="s">
        <v>49</v>
      </c>
      <c r="E30" s="47"/>
      <c r="F30" s="47" t="s">
        <v>105</v>
      </c>
    </row>
    <row r="31" spans="1:6" ht="15.6">
      <c r="A31" s="47" t="s">
        <v>269</v>
      </c>
      <c r="B31" s="47" t="s">
        <v>270</v>
      </c>
      <c r="C31" s="47" t="s">
        <v>232</v>
      </c>
      <c r="D31" s="47" t="s">
        <v>49</v>
      </c>
      <c r="E31" s="47"/>
      <c r="F31" s="47" t="s">
        <v>107</v>
      </c>
    </row>
    <row r="32" spans="1:6" ht="15.6">
      <c r="A32" s="47" t="s">
        <v>271</v>
      </c>
      <c r="B32" s="47" t="s">
        <v>272</v>
      </c>
      <c r="C32" s="47" t="s">
        <v>232</v>
      </c>
      <c r="D32" s="47" t="s">
        <v>49</v>
      </c>
      <c r="E32" s="47"/>
      <c r="F32" s="47" t="s">
        <v>109</v>
      </c>
    </row>
    <row r="33" spans="1:6" ht="15.6">
      <c r="A33" s="47" t="s">
        <v>273</v>
      </c>
      <c r="B33" s="47" t="s">
        <v>274</v>
      </c>
      <c r="C33" s="47" t="s">
        <v>232</v>
      </c>
      <c r="D33" s="47" t="s">
        <v>49</v>
      </c>
      <c r="E33" s="47"/>
      <c r="F33" s="47" t="s">
        <v>111</v>
      </c>
    </row>
    <row r="34" spans="1:6" ht="15.6">
      <c r="A34" s="47" t="s">
        <v>275</v>
      </c>
      <c r="B34" s="47" t="s">
        <v>276</v>
      </c>
      <c r="C34" s="47"/>
      <c r="D34" s="47" t="s">
        <v>49</v>
      </c>
      <c r="E34" s="47"/>
      <c r="F34" s="47" t="s">
        <v>113</v>
      </c>
    </row>
    <row r="35" spans="1:6" ht="15.6">
      <c r="A35" s="47" t="s">
        <v>277</v>
      </c>
      <c r="B35" s="47" t="s">
        <v>278</v>
      </c>
      <c r="C35" s="47"/>
      <c r="D35" s="47" t="s">
        <v>49</v>
      </c>
      <c r="E35" s="47"/>
      <c r="F35" s="47" t="s">
        <v>115</v>
      </c>
    </row>
    <row r="36" spans="1:6" ht="15.6">
      <c r="A36" s="47" t="s">
        <v>279</v>
      </c>
      <c r="B36" s="47" t="s">
        <v>280</v>
      </c>
      <c r="C36" s="47"/>
      <c r="D36" s="47" t="s">
        <v>49</v>
      </c>
      <c r="E36" s="47"/>
      <c r="F36" s="47" t="s">
        <v>117</v>
      </c>
    </row>
    <row r="37" spans="1:6" ht="15.6">
      <c r="A37" s="47" t="s">
        <v>281</v>
      </c>
      <c r="B37" s="47" t="s">
        <v>282</v>
      </c>
      <c r="C37" s="47"/>
      <c r="D37" s="47" t="s">
        <v>49</v>
      </c>
      <c r="E37" s="47"/>
      <c r="F37" s="47" t="s">
        <v>119</v>
      </c>
    </row>
    <row r="38" spans="1:6" ht="15.6">
      <c r="A38" s="47" t="s">
        <v>283</v>
      </c>
      <c r="B38" s="47" t="s">
        <v>284</v>
      </c>
      <c r="C38" s="47"/>
      <c r="D38" s="47" t="s">
        <v>49</v>
      </c>
      <c r="E38" s="47"/>
      <c r="F38" s="47" t="s">
        <v>121</v>
      </c>
    </row>
    <row r="39" spans="1:6" ht="15.6">
      <c r="A39" s="47" t="s">
        <v>285</v>
      </c>
      <c r="B39" s="47" t="s">
        <v>250</v>
      </c>
      <c r="C39" s="47"/>
      <c r="D39" s="47" t="s">
        <v>49</v>
      </c>
      <c r="E39" s="47"/>
      <c r="F39" s="47" t="s">
        <v>123</v>
      </c>
    </row>
    <row r="40" spans="1:6" ht="15.6">
      <c r="A40" s="47" t="s">
        <v>286</v>
      </c>
      <c r="B40" s="47" t="s">
        <v>287</v>
      </c>
      <c r="C40" s="47"/>
      <c r="D40" s="47" t="s">
        <v>49</v>
      </c>
      <c r="E40" s="47"/>
      <c r="F40" s="47" t="s">
        <v>125</v>
      </c>
    </row>
    <row r="41" spans="1:6" ht="15.6">
      <c r="A41" s="47" t="s">
        <v>288</v>
      </c>
      <c r="B41" s="47" t="s">
        <v>289</v>
      </c>
      <c r="C41" s="47"/>
      <c r="D41" s="47" t="s">
        <v>49</v>
      </c>
      <c r="E41" s="47"/>
      <c r="F41" s="47" t="s">
        <v>127</v>
      </c>
    </row>
    <row r="42" spans="1:6" ht="15.6">
      <c r="A42" s="47" t="s">
        <v>290</v>
      </c>
      <c r="B42" s="47" t="s">
        <v>291</v>
      </c>
      <c r="C42" s="47" t="s">
        <v>217</v>
      </c>
      <c r="D42" s="47" t="s">
        <v>49</v>
      </c>
      <c r="E42" s="47"/>
      <c r="F42" s="47" t="s">
        <v>129</v>
      </c>
    </row>
    <row r="43" spans="1:6" ht="15.6">
      <c r="A43" s="47" t="s">
        <v>292</v>
      </c>
      <c r="B43" s="47" t="s">
        <v>293</v>
      </c>
      <c r="C43" s="47" t="s">
        <v>217</v>
      </c>
      <c r="D43" s="47" t="s">
        <v>49</v>
      </c>
      <c r="E43" s="47"/>
      <c r="F43" s="47" t="s">
        <v>131</v>
      </c>
    </row>
    <row r="44" spans="1:6" ht="15.6">
      <c r="A44" s="47" t="s">
        <v>294</v>
      </c>
      <c r="B44" s="47" t="s">
        <v>295</v>
      </c>
      <c r="C44" s="47" t="s">
        <v>217</v>
      </c>
      <c r="D44" s="47" t="s">
        <v>49</v>
      </c>
      <c r="E44" s="47"/>
      <c r="F44" s="47" t="s">
        <v>133</v>
      </c>
    </row>
    <row r="45" spans="1:6" ht="15.6">
      <c r="A45" s="47" t="s">
        <v>296</v>
      </c>
      <c r="B45" s="47" t="s">
        <v>297</v>
      </c>
      <c r="C45" s="47" t="s">
        <v>217</v>
      </c>
      <c r="D45" s="47" t="s">
        <v>49</v>
      </c>
      <c r="E45" s="47"/>
      <c r="F45" s="47" t="s">
        <v>135</v>
      </c>
    </row>
    <row r="46" spans="1:6" ht="15.6">
      <c r="A46" s="47" t="s">
        <v>298</v>
      </c>
      <c r="B46" s="47" t="s">
        <v>299</v>
      </c>
      <c r="C46" s="47" t="s">
        <v>217</v>
      </c>
      <c r="D46" s="47" t="s">
        <v>49</v>
      </c>
      <c r="E46" s="47"/>
      <c r="F46" s="47" t="s">
        <v>137</v>
      </c>
    </row>
    <row r="47" spans="1:6" ht="15.6">
      <c r="A47" s="47" t="s">
        <v>300</v>
      </c>
      <c r="B47" s="47" t="s">
        <v>301</v>
      </c>
      <c r="C47" s="47" t="s">
        <v>217</v>
      </c>
      <c r="D47" s="47" t="s">
        <v>49</v>
      </c>
      <c r="E47" s="47"/>
      <c r="F47" s="47" t="s">
        <v>139</v>
      </c>
    </row>
    <row r="48" spans="1:6" ht="15.6">
      <c r="A48" s="47" t="s">
        <v>302</v>
      </c>
      <c r="B48" s="47" t="s">
        <v>303</v>
      </c>
      <c r="C48" s="47" t="s">
        <v>217</v>
      </c>
      <c r="D48" s="47" t="s">
        <v>49</v>
      </c>
      <c r="E48" s="47"/>
      <c r="F48" s="47" t="s">
        <v>141</v>
      </c>
    </row>
    <row r="49" spans="1:6" ht="15.6">
      <c r="A49" s="47" t="s">
        <v>304</v>
      </c>
      <c r="B49" s="47" t="s">
        <v>305</v>
      </c>
      <c r="C49" s="47" t="s">
        <v>217</v>
      </c>
      <c r="D49" s="47" t="s">
        <v>49</v>
      </c>
      <c r="E49" s="47"/>
      <c r="F49" s="47" t="s">
        <v>143</v>
      </c>
    </row>
    <row r="50" spans="1:6" ht="15.6">
      <c r="A50" s="47" t="s">
        <v>306</v>
      </c>
      <c r="B50" s="47" t="s">
        <v>307</v>
      </c>
      <c r="C50" s="47" t="s">
        <v>217</v>
      </c>
      <c r="D50" s="47" t="s">
        <v>49</v>
      </c>
      <c r="E50" s="47"/>
      <c r="F50" s="47" t="s">
        <v>145</v>
      </c>
    </row>
    <row r="51" spans="1:6" ht="15.6">
      <c r="A51" s="47" t="s">
        <v>308</v>
      </c>
      <c r="B51" s="47" t="s">
        <v>309</v>
      </c>
      <c r="C51" s="47" t="s">
        <v>217</v>
      </c>
      <c r="D51" s="47" t="s">
        <v>49</v>
      </c>
      <c r="E51" s="47"/>
      <c r="F51" s="47" t="s">
        <v>147</v>
      </c>
    </row>
    <row r="52" spans="1:6" ht="15.6">
      <c r="A52" s="47" t="s">
        <v>310</v>
      </c>
      <c r="B52" s="47" t="s">
        <v>311</v>
      </c>
      <c r="C52" s="47"/>
      <c r="D52" s="47" t="s">
        <v>49</v>
      </c>
      <c r="E52" s="47"/>
      <c r="F52" s="47" t="s">
        <v>149</v>
      </c>
    </row>
    <row r="53" spans="1:6" ht="15.6">
      <c r="A53" s="47" t="s">
        <v>312</v>
      </c>
      <c r="B53" s="47" t="s">
        <v>313</v>
      </c>
      <c r="C53" s="47"/>
      <c r="D53" s="47" t="s">
        <v>49</v>
      </c>
      <c r="E53" s="47"/>
      <c r="F53" s="47" t="s">
        <v>151</v>
      </c>
    </row>
    <row r="54" spans="1:6" ht="15.6">
      <c r="A54" s="47" t="s">
        <v>314</v>
      </c>
      <c r="B54" s="47" t="s">
        <v>315</v>
      </c>
      <c r="C54" s="47"/>
      <c r="D54" s="47" t="s">
        <v>49</v>
      </c>
      <c r="E54" s="47"/>
      <c r="F54" s="47" t="s">
        <v>153</v>
      </c>
    </row>
    <row r="55" spans="1:6" ht="15.6">
      <c r="A55" s="47" t="s">
        <v>316</v>
      </c>
      <c r="B55" s="47" t="s">
        <v>317</v>
      </c>
      <c r="C55" s="47"/>
      <c r="D55" s="47" t="s">
        <v>49</v>
      </c>
      <c r="E55" s="47"/>
      <c r="F55" s="47" t="s">
        <v>155</v>
      </c>
    </row>
    <row r="56" spans="1:6" ht="15.6">
      <c r="A56" s="47" t="s">
        <v>318</v>
      </c>
      <c r="B56" s="47" t="s">
        <v>319</v>
      </c>
      <c r="C56" s="47"/>
      <c r="D56" s="47" t="s">
        <v>49</v>
      </c>
      <c r="E56" s="47"/>
      <c r="F56" s="47" t="s">
        <v>157</v>
      </c>
    </row>
    <row r="57" spans="1:6" ht="15.6">
      <c r="A57" s="47" t="s">
        <v>320</v>
      </c>
      <c r="B57" s="47" t="s">
        <v>321</v>
      </c>
      <c r="C57" s="47"/>
      <c r="D57" s="47" t="s">
        <v>49</v>
      </c>
      <c r="E57" s="47"/>
      <c r="F57" s="47" t="s">
        <v>159</v>
      </c>
    </row>
    <row r="58" spans="1:6" ht="15.6">
      <c r="A58" s="47" t="s">
        <v>322</v>
      </c>
      <c r="B58" s="47" t="s">
        <v>323</v>
      </c>
      <c r="C58" s="47"/>
      <c r="D58" s="47" t="s">
        <v>49</v>
      </c>
      <c r="E58" s="47"/>
      <c r="F58" s="47" t="s">
        <v>161</v>
      </c>
    </row>
    <row r="59" spans="1:6" ht="15.6">
      <c r="A59" s="47" t="s">
        <v>324</v>
      </c>
      <c r="B59" s="47" t="s">
        <v>325</v>
      </c>
      <c r="C59" s="47"/>
      <c r="D59" s="47" t="s">
        <v>49</v>
      </c>
      <c r="E59" s="47"/>
      <c r="F59" s="47" t="s">
        <v>163</v>
      </c>
    </row>
    <row r="60" spans="1:6" ht="15.6">
      <c r="A60" s="47" t="s">
        <v>326</v>
      </c>
      <c r="B60" s="47" t="s">
        <v>327</v>
      </c>
      <c r="C60" s="47"/>
      <c r="D60" s="47" t="s">
        <v>49</v>
      </c>
      <c r="E60" s="47"/>
      <c r="F60" s="47" t="s">
        <v>165</v>
      </c>
    </row>
    <row r="61" spans="1:6" ht="15.6">
      <c r="A61" s="47" t="s">
        <v>328</v>
      </c>
      <c r="B61" s="47" t="s">
        <v>329</v>
      </c>
      <c r="C61" s="47"/>
      <c r="D61" s="47" t="s">
        <v>49</v>
      </c>
      <c r="E61" s="47"/>
      <c r="F61" s="47" t="s">
        <v>167</v>
      </c>
    </row>
    <row r="62" spans="1:6" ht="15.6">
      <c r="A62" s="47" t="s">
        <v>330</v>
      </c>
      <c r="B62" s="47" t="s">
        <v>331</v>
      </c>
      <c r="C62" s="47"/>
      <c r="D62" s="47" t="s">
        <v>49</v>
      </c>
      <c r="E62" s="47"/>
      <c r="F62" s="47" t="s">
        <v>169</v>
      </c>
    </row>
    <row r="65" spans="1:14" ht="15.75">
      <c r="A65" s="71" t="s">
        <v>332</v>
      </c>
      <c r="B65" s="72" t="s">
        <v>333</v>
      </c>
      <c r="C65" s="72" t="s">
        <v>334</v>
      </c>
      <c r="D65" s="72" t="s">
        <v>213</v>
      </c>
      <c r="E65" s="72" t="s">
        <v>21</v>
      </c>
      <c r="F65" s="72" t="s">
        <v>335</v>
      </c>
      <c r="G65" s="72" t="s">
        <v>212</v>
      </c>
      <c r="H65" s="72" t="s">
        <v>336</v>
      </c>
      <c r="I65" s="72" t="s">
        <v>337</v>
      </c>
      <c r="J65" s="72" t="s">
        <v>338</v>
      </c>
      <c r="K65" s="72" t="s">
        <v>339</v>
      </c>
      <c r="L65" s="72" t="s">
        <v>340</v>
      </c>
      <c r="M65" s="72" t="s">
        <v>48</v>
      </c>
      <c r="N65" s="72" t="s">
        <v>341</v>
      </c>
    </row>
    <row r="66" spans="1:14">
      <c r="A66" s="73" t="s">
        <v>215</v>
      </c>
      <c r="B66" s="74" t="s">
        <v>342</v>
      </c>
      <c r="C66" s="74" t="s">
        <v>343</v>
      </c>
      <c r="D66" s="74" t="s">
        <v>344</v>
      </c>
      <c r="E66" s="74" t="s">
        <v>345</v>
      </c>
      <c r="F66" s="74" t="s">
        <v>346</v>
      </c>
      <c r="G66" s="74" t="s">
        <v>347</v>
      </c>
      <c r="H66" s="74">
        <v>1</v>
      </c>
      <c r="I66" s="74" t="s">
        <v>347</v>
      </c>
      <c r="J66" s="74" t="s">
        <v>348</v>
      </c>
      <c r="K66" s="74" t="s">
        <v>349</v>
      </c>
      <c r="L66" s="74" t="s">
        <v>350</v>
      </c>
      <c r="M66" s="74" t="s">
        <v>351</v>
      </c>
      <c r="N66" s="74" t="s">
        <v>352</v>
      </c>
    </row>
    <row r="67" spans="1:14">
      <c r="A67" s="73" t="s">
        <v>218</v>
      </c>
      <c r="B67" s="74" t="s">
        <v>342</v>
      </c>
      <c r="C67" s="74" t="s">
        <v>343</v>
      </c>
      <c r="D67" s="74" t="s">
        <v>344</v>
      </c>
      <c r="E67" s="74" t="s">
        <v>353</v>
      </c>
      <c r="F67" s="74" t="s">
        <v>346</v>
      </c>
      <c r="G67" s="74" t="s">
        <v>354</v>
      </c>
      <c r="H67" s="74">
        <v>1</v>
      </c>
      <c r="I67" s="74" t="s">
        <v>354</v>
      </c>
      <c r="J67" s="74" t="s">
        <v>348</v>
      </c>
      <c r="K67" s="74" t="s">
        <v>355</v>
      </c>
      <c r="L67" s="74" t="s">
        <v>356</v>
      </c>
      <c r="M67" s="74" t="s">
        <v>351</v>
      </c>
      <c r="N67" s="74" t="s">
        <v>352</v>
      </c>
    </row>
    <row r="68" spans="1:14">
      <c r="A68" s="73" t="s">
        <v>220</v>
      </c>
      <c r="B68" s="74" t="s">
        <v>342</v>
      </c>
      <c r="C68" s="74" t="s">
        <v>343</v>
      </c>
      <c r="D68" s="74" t="s">
        <v>344</v>
      </c>
      <c r="E68" s="74" t="s">
        <v>357</v>
      </c>
      <c r="F68" s="74" t="s">
        <v>346</v>
      </c>
      <c r="G68" s="74" t="s">
        <v>358</v>
      </c>
      <c r="H68" s="74">
        <v>1</v>
      </c>
      <c r="I68" s="74" t="s">
        <v>358</v>
      </c>
      <c r="J68" s="74" t="s">
        <v>348</v>
      </c>
      <c r="K68" s="74" t="s">
        <v>359</v>
      </c>
      <c r="L68" s="74" t="s">
        <v>360</v>
      </c>
      <c r="M68" s="74" t="s">
        <v>351</v>
      </c>
      <c r="N68" s="74" t="s">
        <v>352</v>
      </c>
    </row>
    <row r="69" spans="1:14">
      <c r="A69" s="73" t="s">
        <v>222</v>
      </c>
      <c r="B69" s="74" t="s">
        <v>342</v>
      </c>
      <c r="C69" s="74" t="s">
        <v>361</v>
      </c>
      <c r="D69" s="74" t="s">
        <v>344</v>
      </c>
      <c r="E69" s="74" t="s">
        <v>362</v>
      </c>
      <c r="F69" s="74" t="s">
        <v>346</v>
      </c>
      <c r="G69" s="74" t="s">
        <v>363</v>
      </c>
      <c r="H69" s="74">
        <v>1</v>
      </c>
      <c r="I69" s="74" t="s">
        <v>364</v>
      </c>
      <c r="J69" s="74" t="s">
        <v>348</v>
      </c>
      <c r="K69" s="74" t="s">
        <v>365</v>
      </c>
      <c r="L69" s="74" t="s">
        <v>366</v>
      </c>
      <c r="M69" s="74" t="s">
        <v>367</v>
      </c>
      <c r="N69" s="74" t="s">
        <v>352</v>
      </c>
    </row>
    <row r="70" spans="1:14">
      <c r="A70" s="73" t="s">
        <v>224</v>
      </c>
      <c r="B70" s="74" t="s">
        <v>342</v>
      </c>
      <c r="C70" s="74" t="s">
        <v>368</v>
      </c>
      <c r="D70" s="74" t="s">
        <v>344</v>
      </c>
      <c r="E70" s="74" t="s">
        <v>369</v>
      </c>
      <c r="F70" s="74" t="s">
        <v>346</v>
      </c>
      <c r="G70" s="74" t="s">
        <v>370</v>
      </c>
      <c r="H70" s="74">
        <v>1</v>
      </c>
      <c r="I70" s="74" t="s">
        <v>370</v>
      </c>
      <c r="J70" s="74" t="s">
        <v>348</v>
      </c>
      <c r="K70" s="74" t="s">
        <v>371</v>
      </c>
      <c r="L70" s="74" t="s">
        <v>372</v>
      </c>
      <c r="M70" s="74" t="s">
        <v>351</v>
      </c>
      <c r="N70" s="74" t="s">
        <v>352</v>
      </c>
    </row>
    <row r="71" spans="1:14">
      <c r="A71" s="73" t="s">
        <v>226</v>
      </c>
      <c r="B71" s="74" t="s">
        <v>342</v>
      </c>
      <c r="C71" s="74" t="s">
        <v>361</v>
      </c>
      <c r="D71" s="74" t="s">
        <v>344</v>
      </c>
      <c r="E71" s="74" t="s">
        <v>227</v>
      </c>
      <c r="F71" s="74" t="s">
        <v>346</v>
      </c>
      <c r="G71" s="74" t="s">
        <v>373</v>
      </c>
      <c r="H71" s="74">
        <v>1</v>
      </c>
      <c r="I71" s="74" t="s">
        <v>374</v>
      </c>
      <c r="J71" s="74" t="s">
        <v>348</v>
      </c>
      <c r="K71" s="74" t="s">
        <v>375</v>
      </c>
      <c r="L71" s="74" t="s">
        <v>366</v>
      </c>
      <c r="M71" s="74" t="s">
        <v>367</v>
      </c>
      <c r="N71" s="74" t="s">
        <v>352</v>
      </c>
    </row>
    <row r="72" spans="1:14">
      <c r="A72" s="73" t="s">
        <v>228</v>
      </c>
      <c r="B72" s="74" t="s">
        <v>342</v>
      </c>
      <c r="C72" s="74" t="s">
        <v>376</v>
      </c>
      <c r="D72" s="74" t="s">
        <v>344</v>
      </c>
      <c r="E72" s="74" t="s">
        <v>377</v>
      </c>
      <c r="F72" s="74" t="s">
        <v>346</v>
      </c>
      <c r="G72" s="74" t="s">
        <v>378</v>
      </c>
      <c r="H72" s="74">
        <v>1</v>
      </c>
      <c r="I72" s="74" t="s">
        <v>378</v>
      </c>
      <c r="J72" s="74" t="s">
        <v>348</v>
      </c>
      <c r="K72" s="74" t="s">
        <v>379</v>
      </c>
      <c r="L72" s="74" t="s">
        <v>380</v>
      </c>
      <c r="M72" s="74" t="s">
        <v>351</v>
      </c>
      <c r="N72" s="74" t="s">
        <v>352</v>
      </c>
    </row>
    <row r="73" spans="1:14">
      <c r="A73" s="73" t="s">
        <v>230</v>
      </c>
      <c r="B73" s="74" t="s">
        <v>381</v>
      </c>
      <c r="C73" s="74" t="s">
        <v>343</v>
      </c>
      <c r="D73" s="74" t="s">
        <v>382</v>
      </c>
      <c r="E73" s="74" t="s">
        <v>383</v>
      </c>
      <c r="F73" s="74" t="s">
        <v>384</v>
      </c>
      <c r="G73" s="74" t="s">
        <v>385</v>
      </c>
      <c r="H73" s="74">
        <v>1</v>
      </c>
      <c r="I73" s="74" t="s">
        <v>386</v>
      </c>
      <c r="J73" s="74" t="s">
        <v>348</v>
      </c>
      <c r="K73" s="74" t="s">
        <v>387</v>
      </c>
      <c r="L73" s="74" t="s">
        <v>388</v>
      </c>
      <c r="M73" s="74" t="s">
        <v>351</v>
      </c>
      <c r="N73" s="74" t="s">
        <v>389</v>
      </c>
    </row>
    <row r="74" spans="1:14">
      <c r="A74" s="73" t="s">
        <v>233</v>
      </c>
      <c r="B74" s="74" t="s">
        <v>381</v>
      </c>
      <c r="C74" s="74" t="s">
        <v>376</v>
      </c>
      <c r="D74" s="74" t="s">
        <v>382</v>
      </c>
      <c r="E74" s="74" t="s">
        <v>390</v>
      </c>
      <c r="F74" s="74" t="s">
        <v>384</v>
      </c>
      <c r="G74" s="74" t="s">
        <v>391</v>
      </c>
      <c r="H74" s="74">
        <v>1</v>
      </c>
      <c r="I74" s="74" t="s">
        <v>392</v>
      </c>
      <c r="J74" s="74" t="s">
        <v>348</v>
      </c>
      <c r="K74" s="74" t="s">
        <v>393</v>
      </c>
      <c r="L74" s="74" t="s">
        <v>394</v>
      </c>
      <c r="M74" s="74" t="s">
        <v>351</v>
      </c>
      <c r="N74" s="74" t="s">
        <v>389</v>
      </c>
    </row>
    <row r="75" spans="1:14">
      <c r="A75" s="73" t="s">
        <v>235</v>
      </c>
      <c r="B75" s="74" t="s">
        <v>381</v>
      </c>
      <c r="C75" s="74" t="s">
        <v>376</v>
      </c>
      <c r="D75" s="74" t="s">
        <v>382</v>
      </c>
      <c r="E75" s="74" t="s">
        <v>395</v>
      </c>
      <c r="F75" s="74" t="s">
        <v>384</v>
      </c>
      <c r="G75" s="74" t="s">
        <v>396</v>
      </c>
      <c r="H75" s="74">
        <v>1</v>
      </c>
      <c r="I75" s="74" t="s">
        <v>397</v>
      </c>
      <c r="J75" s="74" t="s">
        <v>348</v>
      </c>
      <c r="K75" s="74" t="s">
        <v>398</v>
      </c>
      <c r="L75" s="74" t="s">
        <v>399</v>
      </c>
      <c r="M75" s="74" t="s">
        <v>351</v>
      </c>
      <c r="N75" s="74" t="s">
        <v>389</v>
      </c>
    </row>
    <row r="76" spans="1:14">
      <c r="A76" s="73" t="s">
        <v>237</v>
      </c>
      <c r="B76" s="74" t="s">
        <v>400</v>
      </c>
      <c r="C76" s="74" t="s">
        <v>343</v>
      </c>
      <c r="D76" s="74" t="s">
        <v>382</v>
      </c>
      <c r="E76" s="74" t="s">
        <v>401</v>
      </c>
      <c r="F76" s="74" t="s">
        <v>384</v>
      </c>
      <c r="G76" s="74" t="s">
        <v>402</v>
      </c>
      <c r="H76" s="74">
        <v>1</v>
      </c>
      <c r="I76" s="74" t="s">
        <v>402</v>
      </c>
      <c r="J76" s="74" t="s">
        <v>348</v>
      </c>
      <c r="K76" s="74" t="s">
        <v>403</v>
      </c>
      <c r="L76" s="74" t="s">
        <v>404</v>
      </c>
      <c r="M76" s="74" t="s">
        <v>351</v>
      </c>
      <c r="N76" s="74" t="s">
        <v>389</v>
      </c>
    </row>
    <row r="77" spans="1:14">
      <c r="A77" s="73" t="s">
        <v>239</v>
      </c>
      <c r="B77" s="74" t="s">
        <v>400</v>
      </c>
      <c r="C77" s="74" t="s">
        <v>376</v>
      </c>
      <c r="D77" s="74" t="s">
        <v>382</v>
      </c>
      <c r="E77" s="74" t="s">
        <v>405</v>
      </c>
      <c r="F77" s="74" t="s">
        <v>384</v>
      </c>
      <c r="G77" s="74" t="s">
        <v>406</v>
      </c>
      <c r="H77" s="74">
        <v>1</v>
      </c>
      <c r="I77" s="74" t="s">
        <v>406</v>
      </c>
      <c r="J77" s="74" t="s">
        <v>348</v>
      </c>
      <c r="K77" s="74" t="s">
        <v>407</v>
      </c>
      <c r="L77" s="74" t="s">
        <v>394</v>
      </c>
      <c r="M77" s="74" t="s">
        <v>351</v>
      </c>
      <c r="N77" s="74" t="s">
        <v>389</v>
      </c>
    </row>
    <row r="78" spans="1:14">
      <c r="A78" s="73" t="s">
        <v>241</v>
      </c>
      <c r="B78" s="74" t="s">
        <v>400</v>
      </c>
      <c r="C78" s="74" t="s">
        <v>343</v>
      </c>
      <c r="D78" s="74" t="s">
        <v>382</v>
      </c>
      <c r="E78" s="74" t="s">
        <v>408</v>
      </c>
      <c r="F78" s="74" t="s">
        <v>384</v>
      </c>
      <c r="G78" s="74" t="s">
        <v>409</v>
      </c>
      <c r="H78" s="74">
        <v>1</v>
      </c>
      <c r="I78" s="74" t="s">
        <v>409</v>
      </c>
      <c r="J78" s="74" t="s">
        <v>348</v>
      </c>
      <c r="K78" s="74" t="s">
        <v>410</v>
      </c>
      <c r="L78" s="74" t="s">
        <v>411</v>
      </c>
      <c r="M78" s="74" t="s">
        <v>351</v>
      </c>
      <c r="N78" s="74" t="s">
        <v>389</v>
      </c>
    </row>
    <row r="79" spans="1:14">
      <c r="A79" s="73" t="s">
        <v>243</v>
      </c>
      <c r="B79" s="74" t="s">
        <v>400</v>
      </c>
      <c r="C79" s="74" t="s">
        <v>343</v>
      </c>
      <c r="D79" s="74" t="s">
        <v>382</v>
      </c>
      <c r="E79" s="74" t="s">
        <v>412</v>
      </c>
      <c r="F79" s="74" t="s">
        <v>384</v>
      </c>
      <c r="G79" s="74" t="s">
        <v>413</v>
      </c>
      <c r="H79" s="74">
        <v>1</v>
      </c>
      <c r="I79" s="74" t="s">
        <v>413</v>
      </c>
      <c r="J79" s="74" t="s">
        <v>348</v>
      </c>
      <c r="K79" s="74" t="s">
        <v>414</v>
      </c>
      <c r="L79" s="74" t="s">
        <v>415</v>
      </c>
      <c r="M79" s="74" t="s">
        <v>351</v>
      </c>
      <c r="N79" s="74" t="s">
        <v>389</v>
      </c>
    </row>
    <row r="80" spans="1:14">
      <c r="A80" s="73" t="s">
        <v>245</v>
      </c>
      <c r="B80" s="74" t="s">
        <v>400</v>
      </c>
      <c r="C80" s="74" t="s">
        <v>343</v>
      </c>
      <c r="D80" s="74" t="s">
        <v>382</v>
      </c>
      <c r="E80" s="74" t="s">
        <v>416</v>
      </c>
      <c r="F80" s="74" t="s">
        <v>384</v>
      </c>
      <c r="G80" s="74" t="s">
        <v>417</v>
      </c>
      <c r="H80" s="74">
        <v>1</v>
      </c>
      <c r="I80" s="74" t="s">
        <v>417</v>
      </c>
      <c r="J80" s="74" t="s">
        <v>348</v>
      </c>
      <c r="K80" s="74" t="s">
        <v>418</v>
      </c>
      <c r="L80" s="74" t="s">
        <v>419</v>
      </c>
      <c r="M80" s="74" t="s">
        <v>351</v>
      </c>
      <c r="N80" s="74" t="s">
        <v>389</v>
      </c>
    </row>
    <row r="81" spans="1:14">
      <c r="A81" s="73" t="s">
        <v>247</v>
      </c>
      <c r="B81" s="74" t="s">
        <v>400</v>
      </c>
      <c r="C81" s="74" t="s">
        <v>343</v>
      </c>
      <c r="D81" s="74" t="s">
        <v>382</v>
      </c>
      <c r="E81" s="74" t="s">
        <v>420</v>
      </c>
      <c r="F81" s="74" t="s">
        <v>384</v>
      </c>
      <c r="G81" s="74" t="s">
        <v>421</v>
      </c>
      <c r="H81" s="74">
        <v>1</v>
      </c>
      <c r="I81" s="74" t="s">
        <v>421</v>
      </c>
      <c r="J81" s="74" t="s">
        <v>348</v>
      </c>
      <c r="K81" s="74" t="s">
        <v>422</v>
      </c>
      <c r="L81" s="74" t="s">
        <v>423</v>
      </c>
      <c r="M81" s="74" t="s">
        <v>351</v>
      </c>
      <c r="N81" s="74" t="s">
        <v>389</v>
      </c>
    </row>
    <row r="82" spans="1:14">
      <c r="A82" s="73" t="s">
        <v>249</v>
      </c>
      <c r="B82" s="74" t="s">
        <v>424</v>
      </c>
      <c r="C82" s="74" t="s">
        <v>376</v>
      </c>
      <c r="D82" s="74" t="s">
        <v>344</v>
      </c>
      <c r="E82" s="74" t="s">
        <v>425</v>
      </c>
      <c r="F82" s="74" t="s">
        <v>346</v>
      </c>
      <c r="G82" s="74" t="s">
        <v>426</v>
      </c>
      <c r="H82" s="74">
        <v>1</v>
      </c>
      <c r="I82" s="74" t="s">
        <v>426</v>
      </c>
      <c r="J82" s="74" t="s">
        <v>348</v>
      </c>
      <c r="K82" s="74" t="s">
        <v>427</v>
      </c>
      <c r="L82" s="74" t="s">
        <v>428</v>
      </c>
      <c r="M82" s="74" t="s">
        <v>351</v>
      </c>
      <c r="N82" s="74" t="s">
        <v>352</v>
      </c>
    </row>
    <row r="83" spans="1:14">
      <c r="A83" s="73" t="s">
        <v>251</v>
      </c>
      <c r="B83" s="74" t="s">
        <v>424</v>
      </c>
      <c r="C83" s="74" t="s">
        <v>376</v>
      </c>
      <c r="D83" s="74" t="s">
        <v>344</v>
      </c>
      <c r="E83" s="74" t="s">
        <v>429</v>
      </c>
      <c r="F83" s="74" t="s">
        <v>346</v>
      </c>
      <c r="G83" s="74" t="s">
        <v>430</v>
      </c>
      <c r="H83" s="74">
        <v>1</v>
      </c>
      <c r="I83" s="74" t="s">
        <v>430</v>
      </c>
      <c r="J83" s="74" t="s">
        <v>348</v>
      </c>
      <c r="K83" s="74" t="s">
        <v>431</v>
      </c>
      <c r="L83" s="74" t="s">
        <v>432</v>
      </c>
      <c r="M83" s="74" t="s">
        <v>351</v>
      </c>
      <c r="N83" s="74" t="s">
        <v>352</v>
      </c>
    </row>
    <row r="84" spans="1:14">
      <c r="A84" s="73" t="s">
        <v>253</v>
      </c>
      <c r="B84" s="74" t="s">
        <v>424</v>
      </c>
      <c r="C84" s="74" t="s">
        <v>343</v>
      </c>
      <c r="D84" s="74" t="s">
        <v>344</v>
      </c>
      <c r="E84" s="74" t="s">
        <v>433</v>
      </c>
      <c r="F84" s="74" t="s">
        <v>346</v>
      </c>
      <c r="G84" s="74" t="s">
        <v>434</v>
      </c>
      <c r="H84" s="74">
        <v>1</v>
      </c>
      <c r="I84" s="74" t="s">
        <v>434</v>
      </c>
      <c r="J84" s="74" t="s">
        <v>348</v>
      </c>
      <c r="K84" s="74" t="s">
        <v>435</v>
      </c>
      <c r="L84" s="74" t="s">
        <v>436</v>
      </c>
      <c r="M84" s="74" t="s">
        <v>351</v>
      </c>
      <c r="N84" s="74" t="s">
        <v>352</v>
      </c>
    </row>
    <row r="85" spans="1:14">
      <c r="A85" s="73" t="s">
        <v>255</v>
      </c>
      <c r="B85" s="74" t="s">
        <v>424</v>
      </c>
      <c r="C85" s="74" t="s">
        <v>368</v>
      </c>
      <c r="D85" s="74" t="s">
        <v>344</v>
      </c>
      <c r="E85" s="74" t="s">
        <v>437</v>
      </c>
      <c r="F85" s="74" t="s">
        <v>346</v>
      </c>
      <c r="G85" s="74" t="s">
        <v>438</v>
      </c>
      <c r="H85" s="74">
        <v>1</v>
      </c>
      <c r="I85" s="74" t="s">
        <v>438</v>
      </c>
      <c r="J85" s="74" t="s">
        <v>348</v>
      </c>
      <c r="K85" s="74" t="s">
        <v>439</v>
      </c>
      <c r="L85" s="74" t="s">
        <v>440</v>
      </c>
      <c r="M85" s="74" t="s">
        <v>441</v>
      </c>
      <c r="N85" s="74" t="s">
        <v>352</v>
      </c>
    </row>
    <row r="86" spans="1:14">
      <c r="A86" s="73" t="s">
        <v>257</v>
      </c>
      <c r="B86" s="74" t="s">
        <v>424</v>
      </c>
      <c r="C86" s="74" t="s">
        <v>368</v>
      </c>
      <c r="D86" s="74" t="s">
        <v>344</v>
      </c>
      <c r="E86" s="74" t="s">
        <v>442</v>
      </c>
      <c r="F86" s="74" t="s">
        <v>346</v>
      </c>
      <c r="G86" s="74" t="s">
        <v>443</v>
      </c>
      <c r="H86" s="74">
        <v>1</v>
      </c>
      <c r="I86" s="74" t="s">
        <v>443</v>
      </c>
      <c r="J86" s="74" t="s">
        <v>348</v>
      </c>
      <c r="K86" s="74" t="s">
        <v>444</v>
      </c>
      <c r="L86" s="74" t="s">
        <v>445</v>
      </c>
      <c r="M86" s="74" t="s">
        <v>351</v>
      </c>
      <c r="N86" s="74" t="s">
        <v>352</v>
      </c>
    </row>
    <row r="87" spans="1:14">
      <c r="A87" s="73" t="s">
        <v>259</v>
      </c>
      <c r="B87" s="74" t="s">
        <v>424</v>
      </c>
      <c r="C87" s="74" t="s">
        <v>376</v>
      </c>
      <c r="D87" s="74" t="s">
        <v>344</v>
      </c>
      <c r="E87" s="74" t="s">
        <v>446</v>
      </c>
      <c r="F87" s="74" t="s">
        <v>346</v>
      </c>
      <c r="G87" s="74" t="s">
        <v>447</v>
      </c>
      <c r="H87" s="74">
        <v>1</v>
      </c>
      <c r="I87" s="74" t="s">
        <v>447</v>
      </c>
      <c r="J87" s="74" t="s">
        <v>348</v>
      </c>
      <c r="K87" s="74" t="s">
        <v>448</v>
      </c>
      <c r="L87" s="74" t="s">
        <v>449</v>
      </c>
      <c r="M87" s="74" t="s">
        <v>351</v>
      </c>
      <c r="N87" s="74" t="s">
        <v>352</v>
      </c>
    </row>
    <row r="88" spans="1:14">
      <c r="A88" s="73" t="s">
        <v>261</v>
      </c>
      <c r="B88" s="74" t="s">
        <v>424</v>
      </c>
      <c r="C88" s="74" t="s">
        <v>376</v>
      </c>
      <c r="D88" s="74" t="s">
        <v>344</v>
      </c>
      <c r="E88" s="74" t="s">
        <v>450</v>
      </c>
      <c r="F88" s="74" t="s">
        <v>346</v>
      </c>
      <c r="G88" s="74" t="s">
        <v>451</v>
      </c>
      <c r="H88" s="74">
        <v>1</v>
      </c>
      <c r="I88" s="74" t="s">
        <v>451</v>
      </c>
      <c r="J88" s="74" t="s">
        <v>348</v>
      </c>
      <c r="K88" s="74" t="s">
        <v>431</v>
      </c>
      <c r="L88" s="74" t="s">
        <v>452</v>
      </c>
      <c r="M88" s="74" t="s">
        <v>351</v>
      </c>
      <c r="N88" s="74" t="s">
        <v>352</v>
      </c>
    </row>
    <row r="89" spans="1:14">
      <c r="A89" s="73" t="s">
        <v>263</v>
      </c>
      <c r="B89" s="74" t="s">
        <v>453</v>
      </c>
      <c r="C89" s="74" t="s">
        <v>376</v>
      </c>
      <c r="D89" s="74" t="s">
        <v>382</v>
      </c>
      <c r="E89" s="74" t="s">
        <v>454</v>
      </c>
      <c r="F89" s="74" t="s">
        <v>384</v>
      </c>
      <c r="G89" s="74" t="s">
        <v>455</v>
      </c>
      <c r="H89" s="74">
        <v>1</v>
      </c>
      <c r="I89" s="74" t="s">
        <v>455</v>
      </c>
      <c r="J89" s="74" t="s">
        <v>348</v>
      </c>
      <c r="K89" s="74" t="s">
        <v>456</v>
      </c>
      <c r="L89" s="74" t="s">
        <v>457</v>
      </c>
      <c r="M89" s="74" t="s">
        <v>351</v>
      </c>
      <c r="N89" s="74" t="s">
        <v>389</v>
      </c>
    </row>
    <row r="90" spans="1:14">
      <c r="A90" s="73" t="s">
        <v>265</v>
      </c>
      <c r="B90" s="74" t="s">
        <v>453</v>
      </c>
      <c r="C90" s="74" t="s">
        <v>376</v>
      </c>
      <c r="D90" s="74" t="s">
        <v>382</v>
      </c>
      <c r="E90" s="74" t="s">
        <v>458</v>
      </c>
      <c r="F90" s="74" t="s">
        <v>384</v>
      </c>
      <c r="G90" s="74" t="s">
        <v>459</v>
      </c>
      <c r="H90" s="74">
        <v>1</v>
      </c>
      <c r="I90" s="74" t="s">
        <v>459</v>
      </c>
      <c r="J90" s="74" t="s">
        <v>348</v>
      </c>
      <c r="K90" s="74" t="s">
        <v>460</v>
      </c>
      <c r="L90" s="74" t="s">
        <v>461</v>
      </c>
      <c r="M90" s="74" t="s">
        <v>351</v>
      </c>
      <c r="N90" s="74" t="s">
        <v>389</v>
      </c>
    </row>
    <row r="91" spans="1:14">
      <c r="A91" s="73" t="s">
        <v>267</v>
      </c>
      <c r="B91" s="74" t="s">
        <v>453</v>
      </c>
      <c r="C91" s="74" t="s">
        <v>343</v>
      </c>
      <c r="D91" s="74" t="s">
        <v>382</v>
      </c>
      <c r="E91" s="74" t="s">
        <v>462</v>
      </c>
      <c r="F91" s="74" t="s">
        <v>384</v>
      </c>
      <c r="G91" s="74" t="s">
        <v>463</v>
      </c>
      <c r="H91" s="74">
        <v>1</v>
      </c>
      <c r="I91" s="74" t="s">
        <v>463</v>
      </c>
      <c r="J91" s="74" t="s">
        <v>348</v>
      </c>
      <c r="K91" s="74" t="s">
        <v>464</v>
      </c>
      <c r="L91" s="74" t="s">
        <v>465</v>
      </c>
      <c r="M91" s="74" t="s">
        <v>351</v>
      </c>
      <c r="N91" s="74" t="s">
        <v>389</v>
      </c>
    </row>
    <row r="92" spans="1:14">
      <c r="A92" s="73" t="s">
        <v>269</v>
      </c>
      <c r="B92" s="74" t="s">
        <v>453</v>
      </c>
      <c r="C92" s="74" t="s">
        <v>343</v>
      </c>
      <c r="D92" s="74" t="s">
        <v>382</v>
      </c>
      <c r="E92" s="74" t="s">
        <v>466</v>
      </c>
      <c r="F92" s="74" t="s">
        <v>384</v>
      </c>
      <c r="G92" s="74" t="s">
        <v>467</v>
      </c>
      <c r="H92" s="74">
        <v>1</v>
      </c>
      <c r="I92" s="74" t="s">
        <v>467</v>
      </c>
      <c r="J92" s="74" t="s">
        <v>348</v>
      </c>
      <c r="K92" s="74" t="s">
        <v>468</v>
      </c>
      <c r="L92" s="74" t="s">
        <v>469</v>
      </c>
      <c r="M92" s="74" t="s">
        <v>351</v>
      </c>
      <c r="N92" s="74" t="s">
        <v>389</v>
      </c>
    </row>
    <row r="93" spans="1:14">
      <c r="A93" s="73" t="s">
        <v>271</v>
      </c>
      <c r="B93" s="74" t="s">
        <v>453</v>
      </c>
      <c r="C93" s="74" t="s">
        <v>343</v>
      </c>
      <c r="D93" s="74" t="s">
        <v>382</v>
      </c>
      <c r="E93" s="74" t="s">
        <v>470</v>
      </c>
      <c r="F93" s="74" t="s">
        <v>384</v>
      </c>
      <c r="G93" s="74" t="s">
        <v>471</v>
      </c>
      <c r="H93" s="74">
        <v>1</v>
      </c>
      <c r="I93" s="74" t="s">
        <v>471</v>
      </c>
      <c r="J93" s="74" t="s">
        <v>348</v>
      </c>
      <c r="K93" s="74" t="s">
        <v>472</v>
      </c>
      <c r="L93" s="74" t="s">
        <v>473</v>
      </c>
      <c r="M93" s="74" t="s">
        <v>351</v>
      </c>
      <c r="N93" s="74" t="s">
        <v>389</v>
      </c>
    </row>
    <row r="94" spans="1:14">
      <c r="A94" s="73" t="s">
        <v>273</v>
      </c>
      <c r="B94" s="74" t="s">
        <v>453</v>
      </c>
      <c r="C94" s="74" t="s">
        <v>343</v>
      </c>
      <c r="D94" s="74" t="s">
        <v>382</v>
      </c>
      <c r="E94" s="74" t="s">
        <v>474</v>
      </c>
      <c r="F94" s="74" t="s">
        <v>384</v>
      </c>
      <c r="G94" s="74" t="s">
        <v>475</v>
      </c>
      <c r="H94" s="74">
        <v>1</v>
      </c>
      <c r="I94" s="74" t="s">
        <v>475</v>
      </c>
      <c r="J94" s="74" t="s">
        <v>348</v>
      </c>
      <c r="K94" s="74" t="s">
        <v>476</v>
      </c>
      <c r="L94" s="74" t="s">
        <v>477</v>
      </c>
      <c r="M94" s="74" t="s">
        <v>351</v>
      </c>
      <c r="N94" s="74" t="s">
        <v>389</v>
      </c>
    </row>
    <row r="95" spans="1:14">
      <c r="A95" s="73" t="s">
        <v>275</v>
      </c>
      <c r="B95" s="74" t="s">
        <v>478</v>
      </c>
      <c r="C95" s="74" t="s">
        <v>376</v>
      </c>
      <c r="D95" s="74" t="s">
        <v>344</v>
      </c>
      <c r="E95" s="74" t="s">
        <v>479</v>
      </c>
      <c r="F95" s="74" t="s">
        <v>346</v>
      </c>
      <c r="G95" s="74" t="s">
        <v>480</v>
      </c>
      <c r="H95" s="74">
        <v>1</v>
      </c>
      <c r="I95" s="74" t="s">
        <v>480</v>
      </c>
      <c r="J95" s="74" t="s">
        <v>348</v>
      </c>
      <c r="K95" s="74" t="s">
        <v>481</v>
      </c>
      <c r="L95" s="74" t="s">
        <v>482</v>
      </c>
      <c r="M95" s="74" t="s">
        <v>351</v>
      </c>
      <c r="N95" s="74" t="s">
        <v>352</v>
      </c>
    </row>
    <row r="96" spans="1:14">
      <c r="A96" s="73" t="s">
        <v>277</v>
      </c>
      <c r="B96" s="74" t="s">
        <v>478</v>
      </c>
      <c r="C96" s="74" t="s">
        <v>376</v>
      </c>
      <c r="D96" s="74" t="s">
        <v>344</v>
      </c>
      <c r="E96" s="74" t="s">
        <v>483</v>
      </c>
      <c r="F96" s="74" t="s">
        <v>346</v>
      </c>
      <c r="G96" s="74" t="s">
        <v>484</v>
      </c>
      <c r="H96" s="74">
        <v>1</v>
      </c>
      <c r="I96" s="74" t="s">
        <v>484</v>
      </c>
      <c r="J96" s="74" t="s">
        <v>348</v>
      </c>
      <c r="K96" s="74" t="s">
        <v>485</v>
      </c>
      <c r="L96" s="74" t="s">
        <v>486</v>
      </c>
      <c r="M96" s="74" t="s">
        <v>351</v>
      </c>
      <c r="N96" s="74" t="s">
        <v>352</v>
      </c>
    </row>
    <row r="97" spans="1:14">
      <c r="A97" s="73" t="s">
        <v>279</v>
      </c>
      <c r="B97" s="74" t="s">
        <v>478</v>
      </c>
      <c r="C97" s="74" t="s">
        <v>343</v>
      </c>
      <c r="D97" s="74" t="s">
        <v>344</v>
      </c>
      <c r="E97" s="74" t="s">
        <v>487</v>
      </c>
      <c r="F97" s="74" t="s">
        <v>346</v>
      </c>
      <c r="G97" s="74" t="s">
        <v>488</v>
      </c>
      <c r="H97" s="74">
        <v>1</v>
      </c>
      <c r="I97" s="74" t="s">
        <v>488</v>
      </c>
      <c r="J97" s="74" t="s">
        <v>348</v>
      </c>
      <c r="K97" s="74" t="s">
        <v>489</v>
      </c>
      <c r="L97" s="74" t="s">
        <v>490</v>
      </c>
      <c r="M97" s="74" t="s">
        <v>351</v>
      </c>
      <c r="N97" s="74" t="s">
        <v>352</v>
      </c>
    </row>
    <row r="98" spans="1:14">
      <c r="A98" s="73" t="s">
        <v>281</v>
      </c>
      <c r="B98" s="74" t="s">
        <v>478</v>
      </c>
      <c r="C98" s="74" t="s">
        <v>376</v>
      </c>
      <c r="D98" s="74" t="s">
        <v>344</v>
      </c>
      <c r="E98" s="74" t="s">
        <v>491</v>
      </c>
      <c r="F98" s="74" t="s">
        <v>346</v>
      </c>
      <c r="G98" s="74" t="s">
        <v>492</v>
      </c>
      <c r="H98" s="74">
        <v>1</v>
      </c>
      <c r="I98" s="74" t="s">
        <v>492</v>
      </c>
      <c r="J98" s="74" t="s">
        <v>348</v>
      </c>
      <c r="K98" s="74" t="s">
        <v>493</v>
      </c>
      <c r="L98" s="74" t="s">
        <v>494</v>
      </c>
      <c r="M98" s="74" t="s">
        <v>351</v>
      </c>
      <c r="N98" s="74" t="s">
        <v>352</v>
      </c>
    </row>
    <row r="99" spans="1:14">
      <c r="A99" s="73" t="s">
        <v>283</v>
      </c>
      <c r="B99" s="74" t="s">
        <v>478</v>
      </c>
      <c r="C99" s="74" t="s">
        <v>343</v>
      </c>
      <c r="D99" s="74" t="s">
        <v>344</v>
      </c>
      <c r="E99" s="74" t="s">
        <v>495</v>
      </c>
      <c r="F99" s="74" t="s">
        <v>346</v>
      </c>
      <c r="G99" s="74" t="s">
        <v>496</v>
      </c>
      <c r="H99" s="74">
        <v>1</v>
      </c>
      <c r="I99" s="74" t="s">
        <v>496</v>
      </c>
      <c r="J99" s="74" t="s">
        <v>348</v>
      </c>
      <c r="K99" s="74" t="s">
        <v>497</v>
      </c>
      <c r="L99" s="74" t="s">
        <v>498</v>
      </c>
      <c r="M99" s="74" t="s">
        <v>351</v>
      </c>
      <c r="N99" s="74" t="s">
        <v>352</v>
      </c>
    </row>
    <row r="100" spans="1:14">
      <c r="A100" s="73" t="s">
        <v>285</v>
      </c>
      <c r="B100" s="74" t="s">
        <v>499</v>
      </c>
      <c r="C100" s="74" t="s">
        <v>376</v>
      </c>
      <c r="D100" s="74" t="s">
        <v>382</v>
      </c>
      <c r="E100" s="74" t="s">
        <v>500</v>
      </c>
      <c r="F100" s="74" t="s">
        <v>384</v>
      </c>
      <c r="G100" s="74" t="s">
        <v>501</v>
      </c>
      <c r="H100" s="74">
        <v>1</v>
      </c>
      <c r="I100" s="74" t="s">
        <v>501</v>
      </c>
      <c r="J100" s="74" t="s">
        <v>348</v>
      </c>
      <c r="K100" s="74" t="s">
        <v>502</v>
      </c>
      <c r="L100" s="74" t="s">
        <v>503</v>
      </c>
      <c r="M100" s="74" t="s">
        <v>351</v>
      </c>
      <c r="N100" s="74" t="s">
        <v>389</v>
      </c>
    </row>
    <row r="101" spans="1:14">
      <c r="A101" s="73" t="s">
        <v>286</v>
      </c>
      <c r="B101" s="74" t="s">
        <v>499</v>
      </c>
      <c r="C101" s="74" t="s">
        <v>376</v>
      </c>
      <c r="D101" s="74" t="s">
        <v>382</v>
      </c>
      <c r="E101" s="74" t="s">
        <v>504</v>
      </c>
      <c r="F101" s="74" t="s">
        <v>384</v>
      </c>
      <c r="G101" s="74" t="s">
        <v>505</v>
      </c>
      <c r="H101" s="74">
        <v>1</v>
      </c>
      <c r="I101" s="74" t="s">
        <v>505</v>
      </c>
      <c r="J101" s="74" t="s">
        <v>348</v>
      </c>
      <c r="K101" s="74" t="s">
        <v>506</v>
      </c>
      <c r="L101" s="74" t="s">
        <v>507</v>
      </c>
      <c r="M101" s="74" t="s">
        <v>351</v>
      </c>
      <c r="N101" s="74" t="s">
        <v>389</v>
      </c>
    </row>
    <row r="102" spans="1:14">
      <c r="A102" s="73" t="s">
        <v>288</v>
      </c>
      <c r="B102" s="74" t="s">
        <v>499</v>
      </c>
      <c r="C102" s="74" t="s">
        <v>343</v>
      </c>
      <c r="D102" s="74" t="s">
        <v>382</v>
      </c>
      <c r="E102" s="74" t="s">
        <v>508</v>
      </c>
      <c r="F102" s="74" t="s">
        <v>384</v>
      </c>
      <c r="G102" s="74" t="s">
        <v>509</v>
      </c>
      <c r="H102" s="74">
        <v>1</v>
      </c>
      <c r="I102" s="74" t="s">
        <v>509</v>
      </c>
      <c r="J102" s="74" t="s">
        <v>348</v>
      </c>
      <c r="K102" s="74" t="s">
        <v>510</v>
      </c>
      <c r="L102" s="74" t="s">
        <v>511</v>
      </c>
      <c r="M102" s="74" t="s">
        <v>351</v>
      </c>
      <c r="N102" s="74" t="s">
        <v>389</v>
      </c>
    </row>
    <row r="103" spans="1:14">
      <c r="A103" s="73" t="s">
        <v>290</v>
      </c>
      <c r="B103" s="74" t="s">
        <v>512</v>
      </c>
      <c r="C103" s="74" t="s">
        <v>343</v>
      </c>
      <c r="D103" s="74" t="s">
        <v>344</v>
      </c>
      <c r="E103" s="74" t="s">
        <v>513</v>
      </c>
      <c r="F103" s="74" t="s">
        <v>346</v>
      </c>
      <c r="G103" s="74" t="s">
        <v>514</v>
      </c>
      <c r="H103" s="74">
        <v>1</v>
      </c>
      <c r="I103" s="74" t="s">
        <v>514</v>
      </c>
      <c r="J103" s="74" t="s">
        <v>348</v>
      </c>
      <c r="K103" s="74" t="s">
        <v>515</v>
      </c>
      <c r="L103" s="74" t="s">
        <v>516</v>
      </c>
      <c r="M103" s="74" t="s">
        <v>351</v>
      </c>
      <c r="N103" s="74" t="s">
        <v>352</v>
      </c>
    </row>
    <row r="104" spans="1:14">
      <c r="A104" s="73" t="s">
        <v>292</v>
      </c>
      <c r="B104" s="74" t="s">
        <v>512</v>
      </c>
      <c r="C104" s="74" t="s">
        <v>343</v>
      </c>
      <c r="D104" s="74" t="s">
        <v>344</v>
      </c>
      <c r="E104" s="74" t="s">
        <v>517</v>
      </c>
      <c r="F104" s="74" t="s">
        <v>346</v>
      </c>
      <c r="G104" s="74" t="s">
        <v>518</v>
      </c>
      <c r="H104" s="74">
        <v>1</v>
      </c>
      <c r="I104" s="74" t="s">
        <v>518</v>
      </c>
      <c r="J104" s="74" t="s">
        <v>348</v>
      </c>
      <c r="K104" s="74" t="s">
        <v>519</v>
      </c>
      <c r="L104" s="74" t="s">
        <v>520</v>
      </c>
      <c r="M104" s="74" t="s">
        <v>351</v>
      </c>
      <c r="N104" s="74" t="s">
        <v>352</v>
      </c>
    </row>
    <row r="105" spans="1:14">
      <c r="A105" s="73" t="s">
        <v>294</v>
      </c>
      <c r="B105" s="74" t="s">
        <v>512</v>
      </c>
      <c r="C105" s="74" t="s">
        <v>343</v>
      </c>
      <c r="D105" s="74" t="s">
        <v>344</v>
      </c>
      <c r="E105" s="74" t="s">
        <v>521</v>
      </c>
      <c r="F105" s="74" t="s">
        <v>346</v>
      </c>
      <c r="G105" s="74" t="s">
        <v>522</v>
      </c>
      <c r="H105" s="74">
        <v>1</v>
      </c>
      <c r="I105" s="74" t="s">
        <v>522</v>
      </c>
      <c r="J105" s="74" t="s">
        <v>348</v>
      </c>
      <c r="K105" s="74" t="s">
        <v>523</v>
      </c>
      <c r="L105" s="74" t="s">
        <v>524</v>
      </c>
      <c r="M105" s="74" t="s">
        <v>351</v>
      </c>
      <c r="N105" s="74" t="s">
        <v>352</v>
      </c>
    </row>
    <row r="106" spans="1:14">
      <c r="A106" s="73" t="s">
        <v>296</v>
      </c>
      <c r="B106" s="74" t="s">
        <v>512</v>
      </c>
      <c r="C106" s="74" t="s">
        <v>343</v>
      </c>
      <c r="D106" s="74" t="s">
        <v>344</v>
      </c>
      <c r="E106" s="74" t="s">
        <v>525</v>
      </c>
      <c r="F106" s="74" t="s">
        <v>346</v>
      </c>
      <c r="G106" s="74" t="s">
        <v>526</v>
      </c>
      <c r="H106" s="74">
        <v>1</v>
      </c>
      <c r="I106" s="74" t="s">
        <v>526</v>
      </c>
      <c r="J106" s="74" t="s">
        <v>348</v>
      </c>
      <c r="K106" s="74" t="s">
        <v>527</v>
      </c>
      <c r="L106" s="74" t="s">
        <v>528</v>
      </c>
      <c r="M106" s="74" t="s">
        <v>351</v>
      </c>
      <c r="N106" s="74" t="s">
        <v>352</v>
      </c>
    </row>
    <row r="107" spans="1:14">
      <c r="A107" s="73" t="s">
        <v>298</v>
      </c>
      <c r="B107" s="74" t="s">
        <v>512</v>
      </c>
      <c r="C107" s="74" t="s">
        <v>343</v>
      </c>
      <c r="D107" s="74" t="s">
        <v>344</v>
      </c>
      <c r="E107" s="74" t="s">
        <v>529</v>
      </c>
      <c r="F107" s="74" t="s">
        <v>346</v>
      </c>
      <c r="G107" s="74" t="s">
        <v>530</v>
      </c>
      <c r="H107" s="74">
        <v>1</v>
      </c>
      <c r="I107" s="74" t="s">
        <v>530</v>
      </c>
      <c r="J107" s="74" t="s">
        <v>348</v>
      </c>
      <c r="K107" s="74" t="s">
        <v>531</v>
      </c>
      <c r="L107" s="74" t="s">
        <v>532</v>
      </c>
      <c r="M107" s="74" t="s">
        <v>351</v>
      </c>
      <c r="N107" s="74" t="s">
        <v>352</v>
      </c>
    </row>
    <row r="108" spans="1:14">
      <c r="A108" s="73" t="s">
        <v>300</v>
      </c>
      <c r="B108" s="74" t="s">
        <v>512</v>
      </c>
      <c r="C108" s="74" t="s">
        <v>368</v>
      </c>
      <c r="D108" s="74" t="s">
        <v>344</v>
      </c>
      <c r="E108" s="74" t="s">
        <v>533</v>
      </c>
      <c r="F108" s="74" t="s">
        <v>346</v>
      </c>
      <c r="G108" s="74" t="s">
        <v>534</v>
      </c>
      <c r="H108" s="74">
        <v>1</v>
      </c>
      <c r="I108" s="74" t="s">
        <v>534</v>
      </c>
      <c r="J108" s="74" t="s">
        <v>348</v>
      </c>
      <c r="K108" s="74" t="s">
        <v>535</v>
      </c>
      <c r="L108" s="74" t="s">
        <v>536</v>
      </c>
      <c r="M108" s="74" t="s">
        <v>351</v>
      </c>
      <c r="N108" s="74" t="s">
        <v>352</v>
      </c>
    </row>
    <row r="109" spans="1:14">
      <c r="A109" s="73" t="s">
        <v>302</v>
      </c>
      <c r="B109" s="74" t="s">
        <v>512</v>
      </c>
      <c r="C109" s="74" t="s">
        <v>368</v>
      </c>
      <c r="D109" s="74" t="s">
        <v>344</v>
      </c>
      <c r="E109" s="74" t="s">
        <v>537</v>
      </c>
      <c r="F109" s="74" t="s">
        <v>346</v>
      </c>
      <c r="G109" s="74" t="s">
        <v>538</v>
      </c>
      <c r="H109" s="74">
        <v>1</v>
      </c>
      <c r="I109" s="74" t="s">
        <v>538</v>
      </c>
      <c r="J109" s="74" t="s">
        <v>348</v>
      </c>
      <c r="K109" s="74" t="s">
        <v>539</v>
      </c>
      <c r="L109" s="74" t="s">
        <v>540</v>
      </c>
      <c r="M109" s="74" t="s">
        <v>351</v>
      </c>
      <c r="N109" s="74" t="s">
        <v>352</v>
      </c>
    </row>
    <row r="110" spans="1:14">
      <c r="A110" s="73" t="s">
        <v>304</v>
      </c>
      <c r="B110" s="74" t="s">
        <v>512</v>
      </c>
      <c r="C110" s="74" t="s">
        <v>368</v>
      </c>
      <c r="D110" s="74" t="s">
        <v>344</v>
      </c>
      <c r="E110" s="74" t="s">
        <v>541</v>
      </c>
      <c r="F110" s="74" t="s">
        <v>346</v>
      </c>
      <c r="G110" s="74" t="s">
        <v>542</v>
      </c>
      <c r="H110" s="74">
        <v>1</v>
      </c>
      <c r="I110" s="74" t="s">
        <v>542</v>
      </c>
      <c r="J110" s="74" t="s">
        <v>348</v>
      </c>
      <c r="K110" s="74" t="s">
        <v>543</v>
      </c>
      <c r="L110" s="74" t="s">
        <v>544</v>
      </c>
      <c r="M110" s="74" t="s">
        <v>351</v>
      </c>
      <c r="N110" s="74" t="s">
        <v>352</v>
      </c>
    </row>
    <row r="111" spans="1:14">
      <c r="A111" s="73" t="s">
        <v>306</v>
      </c>
      <c r="B111" s="74" t="s">
        <v>512</v>
      </c>
      <c r="C111" s="74" t="s">
        <v>368</v>
      </c>
      <c r="D111" s="74" t="s">
        <v>344</v>
      </c>
      <c r="E111" s="74" t="s">
        <v>545</v>
      </c>
      <c r="F111" s="74" t="s">
        <v>346</v>
      </c>
      <c r="G111" s="74" t="s">
        <v>546</v>
      </c>
      <c r="H111" s="74">
        <v>1</v>
      </c>
      <c r="I111" s="74" t="s">
        <v>546</v>
      </c>
      <c r="J111" s="74" t="s">
        <v>348</v>
      </c>
      <c r="K111" s="74" t="s">
        <v>547</v>
      </c>
      <c r="L111" s="74" t="s">
        <v>548</v>
      </c>
      <c r="M111" s="74" t="s">
        <v>351</v>
      </c>
      <c r="N111" s="74" t="s">
        <v>352</v>
      </c>
    </row>
    <row r="112" spans="1:14">
      <c r="A112" s="73" t="s">
        <v>308</v>
      </c>
      <c r="B112" s="74" t="s">
        <v>512</v>
      </c>
      <c r="C112" s="74" t="s">
        <v>368</v>
      </c>
      <c r="D112" s="74" t="s">
        <v>344</v>
      </c>
      <c r="E112" s="74" t="s">
        <v>549</v>
      </c>
      <c r="F112" s="74" t="s">
        <v>346</v>
      </c>
      <c r="G112" s="74" t="s">
        <v>550</v>
      </c>
      <c r="H112" s="74">
        <v>1</v>
      </c>
      <c r="I112" s="74" t="s">
        <v>550</v>
      </c>
      <c r="J112" s="74" t="s">
        <v>348</v>
      </c>
      <c r="K112" s="74" t="s">
        <v>551</v>
      </c>
      <c r="L112" s="74" t="s">
        <v>552</v>
      </c>
      <c r="M112" s="74" t="s">
        <v>351</v>
      </c>
      <c r="N112" s="74" t="s">
        <v>352</v>
      </c>
    </row>
    <row r="113" spans="1:14">
      <c r="A113" s="73" t="s">
        <v>310</v>
      </c>
      <c r="B113" s="74" t="s">
        <v>553</v>
      </c>
      <c r="C113" s="74" t="s">
        <v>376</v>
      </c>
      <c r="D113" s="74" t="s">
        <v>382</v>
      </c>
      <c r="E113" s="74" t="s">
        <v>454</v>
      </c>
      <c r="F113" s="74" t="s">
        <v>384</v>
      </c>
      <c r="G113" s="74" t="s">
        <v>554</v>
      </c>
      <c r="H113" s="74">
        <v>1</v>
      </c>
      <c r="I113" s="74" t="s">
        <v>554</v>
      </c>
      <c r="J113" s="74" t="s">
        <v>348</v>
      </c>
      <c r="K113" s="74" t="s">
        <v>555</v>
      </c>
      <c r="L113" s="74" t="s">
        <v>457</v>
      </c>
      <c r="M113" s="74" t="s">
        <v>351</v>
      </c>
      <c r="N113" s="74" t="s">
        <v>389</v>
      </c>
    </row>
    <row r="114" spans="1:14">
      <c r="A114" s="73" t="s">
        <v>312</v>
      </c>
      <c r="B114" s="74" t="s">
        <v>553</v>
      </c>
      <c r="C114" s="74" t="s">
        <v>376</v>
      </c>
      <c r="D114" s="74" t="s">
        <v>382</v>
      </c>
      <c r="E114" s="74" t="s">
        <v>556</v>
      </c>
      <c r="F114" s="74" t="s">
        <v>384</v>
      </c>
      <c r="G114" s="74" t="s">
        <v>557</v>
      </c>
      <c r="H114" s="74">
        <v>1</v>
      </c>
      <c r="I114" s="74" t="s">
        <v>557</v>
      </c>
      <c r="J114" s="74" t="s">
        <v>348</v>
      </c>
      <c r="K114" s="74" t="s">
        <v>558</v>
      </c>
      <c r="L114" s="74" t="s">
        <v>461</v>
      </c>
      <c r="M114" s="74" t="s">
        <v>351</v>
      </c>
      <c r="N114" s="74" t="s">
        <v>389</v>
      </c>
    </row>
    <row r="115" spans="1:14">
      <c r="A115" s="73" t="s">
        <v>314</v>
      </c>
      <c r="B115" s="74" t="s">
        <v>553</v>
      </c>
      <c r="C115" s="74" t="s">
        <v>376</v>
      </c>
      <c r="D115" s="74" t="s">
        <v>382</v>
      </c>
      <c r="E115" s="74" t="s">
        <v>559</v>
      </c>
      <c r="F115" s="74" t="s">
        <v>384</v>
      </c>
      <c r="G115" s="74" t="s">
        <v>560</v>
      </c>
      <c r="H115" s="74">
        <v>1</v>
      </c>
      <c r="I115" s="74" t="s">
        <v>560</v>
      </c>
      <c r="J115" s="74" t="s">
        <v>348</v>
      </c>
      <c r="K115" s="74" t="s">
        <v>561</v>
      </c>
      <c r="L115" s="74" t="s">
        <v>562</v>
      </c>
      <c r="M115" s="74" t="s">
        <v>351</v>
      </c>
      <c r="N115" s="74" t="s">
        <v>389</v>
      </c>
    </row>
    <row r="116" spans="1:14">
      <c r="A116" s="73" t="s">
        <v>316</v>
      </c>
      <c r="B116" s="74" t="s">
        <v>553</v>
      </c>
      <c r="C116" s="74" t="s">
        <v>376</v>
      </c>
      <c r="D116" s="74" t="s">
        <v>382</v>
      </c>
      <c r="E116" s="74" t="s">
        <v>563</v>
      </c>
      <c r="F116" s="74" t="s">
        <v>384</v>
      </c>
      <c r="G116" s="74" t="s">
        <v>564</v>
      </c>
      <c r="H116" s="74">
        <v>1</v>
      </c>
      <c r="I116" s="74" t="s">
        <v>564</v>
      </c>
      <c r="J116" s="74" t="s">
        <v>348</v>
      </c>
      <c r="K116" s="74" t="s">
        <v>565</v>
      </c>
      <c r="L116" s="74" t="s">
        <v>566</v>
      </c>
      <c r="M116" s="74" t="s">
        <v>351</v>
      </c>
      <c r="N116" s="74" t="s">
        <v>389</v>
      </c>
    </row>
    <row r="117" spans="1:14">
      <c r="A117" s="73" t="s">
        <v>318</v>
      </c>
      <c r="B117" s="74" t="s">
        <v>553</v>
      </c>
      <c r="C117" s="74" t="s">
        <v>343</v>
      </c>
      <c r="D117" s="74" t="s">
        <v>382</v>
      </c>
      <c r="E117" s="74" t="s">
        <v>567</v>
      </c>
      <c r="F117" s="74" t="s">
        <v>384</v>
      </c>
      <c r="G117" s="74" t="s">
        <v>568</v>
      </c>
      <c r="H117" s="74">
        <v>1</v>
      </c>
      <c r="I117" s="74" t="s">
        <v>568</v>
      </c>
      <c r="J117" s="74" t="s">
        <v>348</v>
      </c>
      <c r="K117" s="74" t="s">
        <v>569</v>
      </c>
      <c r="L117" s="74" t="s">
        <v>570</v>
      </c>
      <c r="M117" s="74" t="s">
        <v>351</v>
      </c>
      <c r="N117" s="74" t="s">
        <v>389</v>
      </c>
    </row>
    <row r="118" spans="1:14">
      <c r="A118" s="73" t="s">
        <v>320</v>
      </c>
      <c r="B118" s="74" t="s">
        <v>553</v>
      </c>
      <c r="C118" s="74" t="s">
        <v>376</v>
      </c>
      <c r="D118" s="74" t="s">
        <v>382</v>
      </c>
      <c r="E118" s="74" t="s">
        <v>571</v>
      </c>
      <c r="F118" s="74" t="s">
        <v>384</v>
      </c>
      <c r="G118" s="74" t="s">
        <v>572</v>
      </c>
      <c r="H118" s="74">
        <v>1</v>
      </c>
      <c r="I118" s="74" t="s">
        <v>572</v>
      </c>
      <c r="J118" s="74" t="s">
        <v>348</v>
      </c>
      <c r="K118" s="74" t="s">
        <v>573</v>
      </c>
      <c r="L118" s="74" t="s">
        <v>574</v>
      </c>
      <c r="M118" s="74" t="s">
        <v>351</v>
      </c>
      <c r="N118" s="74" t="s">
        <v>389</v>
      </c>
    </row>
    <row r="119" spans="1:14">
      <c r="A119" s="73" t="s">
        <v>322</v>
      </c>
      <c r="B119" s="74" t="s">
        <v>553</v>
      </c>
      <c r="C119" s="74" t="s">
        <v>343</v>
      </c>
      <c r="D119" s="74" t="s">
        <v>382</v>
      </c>
      <c r="E119" s="74" t="s">
        <v>575</v>
      </c>
      <c r="F119" s="74" t="s">
        <v>384</v>
      </c>
      <c r="G119" s="74" t="s">
        <v>576</v>
      </c>
      <c r="H119" s="74">
        <v>1</v>
      </c>
      <c r="I119" s="74" t="s">
        <v>576</v>
      </c>
      <c r="J119" s="74" t="s">
        <v>348</v>
      </c>
      <c r="K119" s="74" t="s">
        <v>577</v>
      </c>
      <c r="L119" s="74" t="s">
        <v>578</v>
      </c>
      <c r="M119" s="74" t="s">
        <v>351</v>
      </c>
      <c r="N119" s="74" t="s">
        <v>389</v>
      </c>
    </row>
    <row r="120" spans="1:14">
      <c r="A120" s="73" t="s">
        <v>324</v>
      </c>
      <c r="B120" s="74" t="s">
        <v>553</v>
      </c>
      <c r="C120" s="74" t="s">
        <v>343</v>
      </c>
      <c r="D120" s="74" t="s">
        <v>382</v>
      </c>
      <c r="E120" s="74" t="s">
        <v>579</v>
      </c>
      <c r="F120" s="74" t="s">
        <v>384</v>
      </c>
      <c r="G120" s="74" t="s">
        <v>580</v>
      </c>
      <c r="H120" s="74">
        <v>1</v>
      </c>
      <c r="I120" s="74" t="s">
        <v>580</v>
      </c>
      <c r="J120" s="74" t="s">
        <v>348</v>
      </c>
      <c r="K120" s="74" t="s">
        <v>581</v>
      </c>
      <c r="L120" s="74" t="s">
        <v>582</v>
      </c>
      <c r="M120" s="74" t="s">
        <v>351</v>
      </c>
      <c r="N120" s="74" t="s">
        <v>389</v>
      </c>
    </row>
    <row r="121" spans="1:14">
      <c r="A121" s="73" t="s">
        <v>326</v>
      </c>
      <c r="B121" s="74" t="s">
        <v>553</v>
      </c>
      <c r="C121" s="74" t="s">
        <v>343</v>
      </c>
      <c r="D121" s="74" t="s">
        <v>382</v>
      </c>
      <c r="E121" s="74" t="s">
        <v>583</v>
      </c>
      <c r="F121" s="74" t="s">
        <v>384</v>
      </c>
      <c r="G121" s="74" t="s">
        <v>584</v>
      </c>
      <c r="H121" s="74">
        <v>1</v>
      </c>
      <c r="I121" s="74" t="s">
        <v>584</v>
      </c>
      <c r="J121" s="74" t="s">
        <v>348</v>
      </c>
      <c r="K121" s="74" t="s">
        <v>585</v>
      </c>
      <c r="L121" s="74" t="s">
        <v>586</v>
      </c>
      <c r="M121" s="74" t="s">
        <v>351</v>
      </c>
      <c r="N121" s="74" t="s">
        <v>389</v>
      </c>
    </row>
    <row r="122" spans="1:14">
      <c r="A122" s="75" t="s">
        <v>328</v>
      </c>
      <c r="B122" s="76" t="s">
        <v>553</v>
      </c>
      <c r="C122" s="76" t="s">
        <v>343</v>
      </c>
      <c r="D122" s="76" t="s">
        <v>382</v>
      </c>
      <c r="E122" s="76" t="s">
        <v>587</v>
      </c>
      <c r="F122" s="76" t="s">
        <v>384</v>
      </c>
      <c r="G122" s="76" t="s">
        <v>588</v>
      </c>
      <c r="H122" s="76">
        <v>1</v>
      </c>
      <c r="I122" s="76" t="s">
        <v>588</v>
      </c>
      <c r="J122" s="76" t="s">
        <v>348</v>
      </c>
      <c r="K122" s="76" t="s">
        <v>589</v>
      </c>
      <c r="L122" s="76" t="s">
        <v>590</v>
      </c>
      <c r="M122" s="76" t="s">
        <v>351</v>
      </c>
      <c r="N122" s="76" t="s">
        <v>389</v>
      </c>
    </row>
    <row r="123" spans="1:14">
      <c r="A123" s="77" t="s">
        <v>330</v>
      </c>
      <c r="B123" s="78" t="s">
        <v>553</v>
      </c>
      <c r="C123" s="78" t="s">
        <v>343</v>
      </c>
      <c r="D123" s="78" t="s">
        <v>382</v>
      </c>
      <c r="E123" s="78" t="s">
        <v>591</v>
      </c>
      <c r="F123" s="78" t="s">
        <v>384</v>
      </c>
      <c r="G123" s="78" t="s">
        <v>592</v>
      </c>
      <c r="H123" s="78">
        <v>1</v>
      </c>
      <c r="I123" s="78" t="s">
        <v>592</v>
      </c>
      <c r="J123" s="78" t="s">
        <v>348</v>
      </c>
      <c r="K123" s="78" t="s">
        <v>593</v>
      </c>
      <c r="L123" s="78" t="s">
        <v>594</v>
      </c>
      <c r="M123" s="78" t="s">
        <v>351</v>
      </c>
      <c r="N123" s="78" t="s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topLeftCell="A11" workbookViewId="0"/>
  </sheetViews>
  <sheetFormatPr defaultRowHeight="15.6"/>
  <cols>
    <col min="1" max="1" width="21.109375" customWidth="1"/>
    <col min="2" max="2" width="60" customWidth="1"/>
    <col min="3" max="3" width="16" customWidth="1"/>
    <col min="4" max="4" width="18" customWidth="1"/>
    <col min="5" max="5" width="55" customWidth="1"/>
  </cols>
  <sheetData>
    <row r="1" spans="1:5">
      <c r="B1" s="50" t="s">
        <v>44</v>
      </c>
      <c r="C1" s="46">
        <v>46008</v>
      </c>
    </row>
    <row r="4" spans="1:5">
      <c r="A4" s="51" t="s">
        <v>211</v>
      </c>
      <c r="B4" s="51" t="s">
        <v>595</v>
      </c>
      <c r="C4" s="51" t="s">
        <v>46</v>
      </c>
      <c r="D4" s="51" t="s">
        <v>214</v>
      </c>
      <c r="E4" s="51" t="s">
        <v>48</v>
      </c>
    </row>
    <row r="5" spans="1:5">
      <c r="A5" s="47" t="s">
        <v>596</v>
      </c>
      <c r="B5" s="47" t="s">
        <v>597</v>
      </c>
      <c r="C5" s="47" t="s">
        <v>49</v>
      </c>
      <c r="D5" s="47"/>
      <c r="E5" s="47" t="s">
        <v>171</v>
      </c>
    </row>
    <row r="6" spans="1:5">
      <c r="A6" s="47" t="s">
        <v>598</v>
      </c>
      <c r="B6" s="47" t="s">
        <v>599</v>
      </c>
      <c r="C6" s="47" t="s">
        <v>49</v>
      </c>
      <c r="D6" s="47"/>
      <c r="E6" s="47" t="s">
        <v>173</v>
      </c>
    </row>
    <row r="7" spans="1:5">
      <c r="A7" s="47" t="s">
        <v>600</v>
      </c>
      <c r="B7" s="47" t="s">
        <v>601</v>
      </c>
      <c r="C7" s="47" t="s">
        <v>49</v>
      </c>
      <c r="D7" s="47"/>
      <c r="E7" s="47" t="s">
        <v>175</v>
      </c>
    </row>
    <row r="8" spans="1:5">
      <c r="A8" s="47" t="s">
        <v>602</v>
      </c>
      <c r="B8" s="47" t="s">
        <v>603</v>
      </c>
      <c r="C8" s="47" t="s">
        <v>49</v>
      </c>
      <c r="D8" s="47"/>
      <c r="E8" s="47" t="s">
        <v>177</v>
      </c>
    </row>
    <row r="9" spans="1:5">
      <c r="A9" s="47" t="s">
        <v>604</v>
      </c>
      <c r="B9" s="47" t="s">
        <v>605</v>
      </c>
      <c r="C9" s="47" t="s">
        <v>49</v>
      </c>
      <c r="D9" s="47"/>
      <c r="E9" s="47" t="s">
        <v>179</v>
      </c>
    </row>
    <row r="10" spans="1:5">
      <c r="A10" s="47" t="s">
        <v>606</v>
      </c>
      <c r="B10" s="47" t="s">
        <v>607</v>
      </c>
      <c r="C10" s="47" t="s">
        <v>49</v>
      </c>
      <c r="D10" s="47"/>
      <c r="E10" s="47" t="s">
        <v>181</v>
      </c>
    </row>
    <row r="11" spans="1:5">
      <c r="A11" s="47" t="s">
        <v>608</v>
      </c>
      <c r="B11" s="47" t="s">
        <v>609</v>
      </c>
      <c r="C11" s="47" t="s">
        <v>49</v>
      </c>
      <c r="D11" s="47"/>
      <c r="E11" s="47" t="s">
        <v>183</v>
      </c>
    </row>
    <row r="12" spans="1:5">
      <c r="A12" s="47" t="s">
        <v>610</v>
      </c>
      <c r="B12" s="47" t="s">
        <v>611</v>
      </c>
      <c r="C12" s="47" t="s">
        <v>49</v>
      </c>
      <c r="D12" s="47"/>
      <c r="E12" s="47" t="s">
        <v>185</v>
      </c>
    </row>
    <row r="13" spans="1:5">
      <c r="A13" s="47" t="s">
        <v>612</v>
      </c>
      <c r="B13" s="47" t="s">
        <v>613</v>
      </c>
      <c r="C13" s="47" t="s">
        <v>49</v>
      </c>
      <c r="D13" s="47"/>
      <c r="E13" s="47" t="s">
        <v>187</v>
      </c>
    </row>
    <row r="14" spans="1:5">
      <c r="A14" s="47" t="s">
        <v>614</v>
      </c>
      <c r="B14" s="47" t="s">
        <v>615</v>
      </c>
      <c r="C14" s="47" t="s">
        <v>49</v>
      </c>
      <c r="D14" s="47"/>
      <c r="E14" s="47" t="s">
        <v>189</v>
      </c>
    </row>
    <row r="15" spans="1:5">
      <c r="A15" s="47" t="s">
        <v>616</v>
      </c>
      <c r="B15" s="47" t="s">
        <v>617</v>
      </c>
      <c r="C15" s="47" t="s">
        <v>49</v>
      </c>
      <c r="D15" s="47"/>
      <c r="E15" s="47" t="s">
        <v>191</v>
      </c>
    </row>
    <row r="16" spans="1:5">
      <c r="A16" s="47" t="s">
        <v>618</v>
      </c>
      <c r="B16" s="47" t="s">
        <v>619</v>
      </c>
      <c r="C16" s="47" t="s">
        <v>49</v>
      </c>
      <c r="D16" s="47"/>
      <c r="E16" s="47" t="s">
        <v>193</v>
      </c>
    </row>
    <row r="17" spans="1:5">
      <c r="A17" s="47" t="s">
        <v>620</v>
      </c>
      <c r="B17" s="47" t="s">
        <v>621</v>
      </c>
      <c r="C17" s="47" t="s">
        <v>49</v>
      </c>
      <c r="D17" s="47"/>
      <c r="E17" s="47" t="s">
        <v>195</v>
      </c>
    </row>
    <row r="18" spans="1:5">
      <c r="A18" s="47" t="s">
        <v>622</v>
      </c>
      <c r="B18" s="47" t="s">
        <v>623</v>
      </c>
      <c r="C18" s="47" t="s">
        <v>49</v>
      </c>
      <c r="D18" s="47"/>
      <c r="E18" s="47" t="s">
        <v>197</v>
      </c>
    </row>
    <row r="19" spans="1:5">
      <c r="A19" s="47" t="s">
        <v>624</v>
      </c>
      <c r="B19" s="47" t="s">
        <v>625</v>
      </c>
      <c r="C19" s="47" t="s">
        <v>49</v>
      </c>
      <c r="D19" s="47"/>
      <c r="E19" s="47" t="s">
        <v>199</v>
      </c>
    </row>
    <row r="20" spans="1:5">
      <c r="A20" s="47" t="s">
        <v>626</v>
      </c>
      <c r="B20" s="47" t="s">
        <v>627</v>
      </c>
      <c r="C20" s="47" t="s">
        <v>49</v>
      </c>
      <c r="D20" s="47"/>
      <c r="E20" s="47" t="s">
        <v>201</v>
      </c>
    </row>
    <row r="21" spans="1:5">
      <c r="A21" s="47" t="s">
        <v>628</v>
      </c>
      <c r="B21" s="47" t="s">
        <v>629</v>
      </c>
      <c r="C21" s="47" t="s">
        <v>52</v>
      </c>
      <c r="D21" s="47" t="s">
        <v>203</v>
      </c>
      <c r="E21" s="47" t="s">
        <v>204</v>
      </c>
    </row>
    <row r="22" spans="1:5">
      <c r="A22" s="47" t="s">
        <v>630</v>
      </c>
      <c r="B22" s="47" t="s">
        <v>631</v>
      </c>
      <c r="C22" s="47" t="s">
        <v>49</v>
      </c>
      <c r="D22" s="47"/>
      <c r="E22" s="47" t="s">
        <v>206</v>
      </c>
    </row>
    <row r="23" spans="1:5" ht="18.95" customHeight="1">
      <c r="A23" s="47" t="s">
        <v>632</v>
      </c>
      <c r="B23" s="47" t="s">
        <v>633</v>
      </c>
      <c r="C23" s="47" t="s">
        <v>49</v>
      </c>
      <c r="D23" s="47"/>
      <c r="E23" s="47" t="s">
        <v>208</v>
      </c>
    </row>
    <row r="24" spans="1:5">
      <c r="A24" s="47" t="s">
        <v>634</v>
      </c>
      <c r="B24" s="47" t="s">
        <v>635</v>
      </c>
      <c r="C24" s="47" t="s">
        <v>49</v>
      </c>
      <c r="D24" s="47"/>
      <c r="E24" s="47" t="s">
        <v>210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K10"/>
  <sheetViews>
    <sheetView tabSelected="1" workbookViewId="0">
      <selection activeCell="A13" sqref="A13:G18"/>
    </sheetView>
  </sheetViews>
  <sheetFormatPr defaultRowHeight="15" customHeight="1"/>
  <cols>
    <col min="1" max="1" width="14" customWidth="1"/>
    <col min="2" max="4" width="18" customWidth="1"/>
    <col min="5" max="5" width="12" customWidth="1"/>
    <col min="6" max="6" width="10" customWidth="1"/>
    <col min="7" max="7" width="70" customWidth="1"/>
    <col min="9" max="9" width="13.6640625" customWidth="1"/>
    <col min="10" max="10" width="7.33203125" customWidth="1"/>
    <col min="11" max="11" width="36" customWidth="1"/>
  </cols>
  <sheetData>
    <row r="3" spans="1:11" ht="15.75">
      <c r="A3" s="51" t="s">
        <v>636</v>
      </c>
      <c r="B3" s="51" t="s">
        <v>637</v>
      </c>
      <c r="C3" s="63" t="s">
        <v>638</v>
      </c>
      <c r="D3" s="51" t="s">
        <v>639</v>
      </c>
      <c r="E3" s="51" t="s">
        <v>37</v>
      </c>
      <c r="F3" s="51" t="s">
        <v>640</v>
      </c>
      <c r="G3" s="51" t="s">
        <v>641</v>
      </c>
      <c r="I3" s="69" t="s">
        <v>642</v>
      </c>
      <c r="J3" s="70" t="s">
        <v>643</v>
      </c>
      <c r="K3" s="68" t="s">
        <v>644</v>
      </c>
    </row>
    <row r="4" spans="1:11">
      <c r="A4" s="47" t="s">
        <v>645</v>
      </c>
      <c r="B4" s="47" t="s">
        <v>646</v>
      </c>
      <c r="C4" s="64" t="s">
        <v>647</v>
      </c>
      <c r="D4" s="47" t="s">
        <v>648</v>
      </c>
      <c r="E4" s="47" t="s">
        <v>649</v>
      </c>
      <c r="F4" s="47" t="s">
        <v>650</v>
      </c>
      <c r="G4" s="47" t="s">
        <v>651</v>
      </c>
      <c r="I4" s="66" t="s">
        <v>652</v>
      </c>
      <c r="J4" s="67">
        <v>4</v>
      </c>
      <c r="K4" s="66" t="s">
        <v>653</v>
      </c>
    </row>
    <row r="5" spans="1:11">
      <c r="A5" s="47" t="s">
        <v>654</v>
      </c>
      <c r="B5" s="47" t="s">
        <v>646</v>
      </c>
      <c r="C5" s="64" t="s">
        <v>647</v>
      </c>
      <c r="D5" s="47" t="s">
        <v>655</v>
      </c>
      <c r="E5" s="47" t="s">
        <v>649</v>
      </c>
      <c r="F5" s="47" t="s">
        <v>650</v>
      </c>
      <c r="G5" s="47" t="s">
        <v>656</v>
      </c>
      <c r="I5" s="66" t="s">
        <v>657</v>
      </c>
      <c r="J5" s="67">
        <v>2</v>
      </c>
      <c r="K5" s="66" t="s">
        <v>658</v>
      </c>
    </row>
    <row r="6" spans="1:11">
      <c r="A6" s="47" t="s">
        <v>659</v>
      </c>
      <c r="B6" s="47" t="s">
        <v>646</v>
      </c>
      <c r="C6" s="64" t="s">
        <v>647</v>
      </c>
      <c r="D6" s="47" t="s">
        <v>655</v>
      </c>
      <c r="E6" s="47" t="s">
        <v>660</v>
      </c>
      <c r="F6" s="47" t="s">
        <v>650</v>
      </c>
      <c r="G6" s="47" t="s">
        <v>661</v>
      </c>
      <c r="I6" s="66" t="s">
        <v>662</v>
      </c>
      <c r="J6" s="67">
        <v>6</v>
      </c>
      <c r="K6" s="66" t="s">
        <v>663</v>
      </c>
    </row>
    <row r="7" spans="1:11">
      <c r="A7" s="47" t="s">
        <v>664</v>
      </c>
      <c r="B7" s="47" t="s">
        <v>665</v>
      </c>
      <c r="C7" s="64" t="s">
        <v>647</v>
      </c>
      <c r="D7" s="47" t="s">
        <v>666</v>
      </c>
      <c r="E7" s="47" t="s">
        <v>667</v>
      </c>
      <c r="F7" s="47" t="s">
        <v>650</v>
      </c>
      <c r="G7" s="47" t="s">
        <v>668</v>
      </c>
      <c r="I7" s="65"/>
      <c r="J7" s="65"/>
      <c r="K7" s="65"/>
    </row>
    <row r="8" spans="1:11">
      <c r="A8" s="47" t="s">
        <v>669</v>
      </c>
      <c r="B8" s="47" t="s">
        <v>670</v>
      </c>
      <c r="C8" s="64" t="s">
        <v>671</v>
      </c>
      <c r="D8" s="47" t="s">
        <v>672</v>
      </c>
      <c r="E8" s="47" t="s">
        <v>673</v>
      </c>
      <c r="F8" s="47" t="s">
        <v>650</v>
      </c>
      <c r="G8" s="47" t="s">
        <v>674</v>
      </c>
    </row>
    <row r="9" spans="1:11">
      <c r="A9" s="47" t="s">
        <v>675</v>
      </c>
      <c r="B9" s="47" t="s">
        <v>676</v>
      </c>
      <c r="C9" s="64" t="s">
        <v>671</v>
      </c>
      <c r="D9" s="47" t="s">
        <v>677</v>
      </c>
      <c r="E9" s="47" t="s">
        <v>673</v>
      </c>
      <c r="F9" s="47" t="s">
        <v>650</v>
      </c>
      <c r="G9" s="47" t="s">
        <v>678</v>
      </c>
    </row>
    <row r="10" spans="1:11" ht="15" customHeight="1">
      <c r="C10" s="6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4"/>
  <sheetViews>
    <sheetView workbookViewId="0">
      <selection activeCell="C10" sqref="C10"/>
    </sheetView>
  </sheetViews>
  <sheetFormatPr defaultColWidth="7.109375" defaultRowHeight="12.6"/>
  <cols>
    <col min="1" max="1" width="24.21875" style="30" customWidth="1"/>
    <col min="2" max="2" width="19.33203125" style="30" customWidth="1"/>
    <col min="3" max="3" width="37.44140625" style="30" bestFit="1" customWidth="1"/>
    <col min="4" max="4" width="12.21875" style="30" customWidth="1"/>
    <col min="5" max="5" width="12.109375" style="30" customWidth="1"/>
    <col min="6" max="6" width="12.33203125" style="30" customWidth="1"/>
    <col min="7" max="7" width="26.33203125" style="30" customWidth="1"/>
    <col min="8" max="9" width="7.109375" style="30" customWidth="1"/>
    <col min="10" max="16384" width="7.109375" style="30"/>
  </cols>
  <sheetData>
    <row r="2" spans="1:7" ht="50.1" customHeight="1">
      <c r="A2" s="52" t="s">
        <v>679</v>
      </c>
      <c r="B2" s="52"/>
      <c r="C2" s="52"/>
      <c r="D2" s="52"/>
      <c r="E2" s="52"/>
      <c r="F2" s="52"/>
      <c r="G2" s="52"/>
    </row>
    <row r="4" spans="1:7" ht="17.25" customHeight="1">
      <c r="A4" s="87" t="s">
        <v>680</v>
      </c>
      <c r="B4" s="88"/>
      <c r="C4" s="54"/>
      <c r="D4" s="54"/>
      <c r="E4" s="54"/>
      <c r="F4" s="54"/>
      <c r="G4" s="54"/>
    </row>
    <row r="5" spans="1:7" ht="13.5" customHeight="1">
      <c r="A5" s="53"/>
      <c r="B5" s="53"/>
      <c r="C5" s="54"/>
      <c r="D5" s="54"/>
      <c r="E5" s="54"/>
      <c r="F5" s="54"/>
      <c r="G5" s="54"/>
    </row>
    <row r="6" spans="1:7">
      <c r="A6" s="55" t="s">
        <v>681</v>
      </c>
      <c r="B6" s="55"/>
      <c r="C6" s="54"/>
      <c r="D6" s="54"/>
      <c r="E6" s="54"/>
      <c r="F6" s="54"/>
      <c r="G6" s="54"/>
    </row>
    <row r="7" spans="1:7">
      <c r="A7" s="56" t="s">
        <v>682</v>
      </c>
      <c r="B7" s="57" t="s">
        <v>683</v>
      </c>
      <c r="C7" s="54"/>
      <c r="D7" s="54"/>
      <c r="E7" s="54"/>
      <c r="F7" s="54"/>
      <c r="G7" s="54"/>
    </row>
    <row r="8" spans="1:7">
      <c r="A8" s="56" t="s">
        <v>684</v>
      </c>
      <c r="B8" s="56" t="s">
        <v>685</v>
      </c>
      <c r="C8" s="54"/>
      <c r="D8" s="54"/>
      <c r="E8" s="54"/>
      <c r="F8" s="54"/>
      <c r="G8" s="54"/>
    </row>
    <row r="9" spans="1:7" ht="12.75">
      <c r="A9" s="56" t="s">
        <v>686</v>
      </c>
      <c r="B9" s="56" t="s">
        <v>687</v>
      </c>
      <c r="C9" s="54"/>
      <c r="D9" s="54"/>
      <c r="E9" s="54"/>
      <c r="F9" s="54"/>
      <c r="G9" s="54"/>
    </row>
    <row r="12" spans="1:7" ht="17.25" customHeight="1">
      <c r="A12" s="53" t="s">
        <v>688</v>
      </c>
      <c r="B12" s="54"/>
      <c r="C12" s="54"/>
      <c r="D12" s="54"/>
      <c r="E12" s="54"/>
      <c r="F12" s="54"/>
      <c r="G12" s="54"/>
    </row>
    <row r="13" spans="1:7" ht="24.95" customHeight="1">
      <c r="A13" s="58" t="s">
        <v>689</v>
      </c>
      <c r="B13" s="58" t="s">
        <v>690</v>
      </c>
      <c r="C13" s="58" t="s">
        <v>691</v>
      </c>
      <c r="D13" s="58" t="s">
        <v>692</v>
      </c>
      <c r="E13" s="58" t="s">
        <v>693</v>
      </c>
      <c r="F13" s="58" t="s">
        <v>694</v>
      </c>
      <c r="G13" s="54"/>
    </row>
    <row r="14" spans="1:7">
      <c r="A14" s="56">
        <v>0.6</v>
      </c>
      <c r="B14" s="59">
        <v>40022</v>
      </c>
      <c r="C14" s="56" t="s">
        <v>695</v>
      </c>
      <c r="D14" s="56" t="s">
        <v>696</v>
      </c>
      <c r="E14" s="56" t="s">
        <v>697</v>
      </c>
      <c r="F14" s="56" t="s">
        <v>697</v>
      </c>
      <c r="G14" s="54"/>
    </row>
    <row r="15" spans="1:7">
      <c r="A15" s="57" t="s">
        <v>698</v>
      </c>
      <c r="B15" s="59">
        <v>40023</v>
      </c>
      <c r="C15" s="56" t="s">
        <v>699</v>
      </c>
      <c r="D15" s="56" t="s">
        <v>696</v>
      </c>
      <c r="E15" s="56"/>
      <c r="F15" s="56"/>
      <c r="G15" s="54"/>
    </row>
    <row r="16" spans="1:7">
      <c r="A16" s="57" t="s">
        <v>700</v>
      </c>
      <c r="B16" s="59">
        <v>40050</v>
      </c>
      <c r="C16" s="56" t="s">
        <v>701</v>
      </c>
      <c r="D16" s="56" t="s">
        <v>696</v>
      </c>
      <c r="E16" s="56"/>
      <c r="F16" s="56"/>
      <c r="G16" s="54"/>
    </row>
    <row r="17" spans="1:6">
      <c r="A17" s="57" t="s">
        <v>683</v>
      </c>
      <c r="B17" s="59">
        <v>40067</v>
      </c>
      <c r="C17" s="56" t="s">
        <v>685</v>
      </c>
      <c r="D17" s="56"/>
      <c r="E17" s="56" t="s">
        <v>702</v>
      </c>
      <c r="F17" s="56" t="s">
        <v>703</v>
      </c>
    </row>
    <row r="18" spans="1:6">
      <c r="A18" s="60"/>
      <c r="B18" s="61"/>
      <c r="C18" s="62"/>
      <c r="D18" s="62"/>
      <c r="E18" s="62"/>
      <c r="F18" s="62"/>
    </row>
    <row r="20" spans="1:6" ht="12.95" customHeight="1">
      <c r="A20" s="31" t="s">
        <v>704</v>
      </c>
      <c r="B20" s="54"/>
      <c r="C20" s="54"/>
      <c r="D20" s="54"/>
      <c r="E20" s="54"/>
      <c r="F20" s="54"/>
    </row>
    <row r="21" spans="1:6" ht="12.95" customHeight="1">
      <c r="A21" s="32" t="s">
        <v>705</v>
      </c>
      <c r="B21" s="54"/>
      <c r="C21" s="54"/>
      <c r="D21" s="54"/>
      <c r="E21" s="54"/>
      <c r="F21" s="54"/>
    </row>
    <row r="22" spans="1:6" ht="12.95" customHeight="1">
      <c r="A22" s="33" t="s">
        <v>706</v>
      </c>
      <c r="B22" s="54"/>
      <c r="C22" s="54"/>
      <c r="D22" s="54"/>
      <c r="E22" s="54"/>
      <c r="F22" s="54"/>
    </row>
    <row r="23" spans="1:6" ht="12.95" customHeight="1">
      <c r="A23" s="34" t="s">
        <v>707</v>
      </c>
      <c r="B23" s="54"/>
      <c r="C23" s="54"/>
      <c r="D23" s="54"/>
      <c r="E23" s="54"/>
      <c r="F23" s="54"/>
    </row>
    <row r="24" spans="1:6" ht="12.95" customHeight="1">
      <c r="A24" s="32" t="s">
        <v>708</v>
      </c>
      <c r="B24" s="54"/>
      <c r="C24" s="54"/>
      <c r="D24" s="54"/>
      <c r="E24" s="54"/>
      <c r="F24" s="54"/>
    </row>
  </sheetData>
  <mergeCells count="1">
    <mergeCell ref="A4:B4"/>
  </mergeCells>
  <pageMargins left="0.2" right="0.2" top="1" bottom="1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9a8cd2-3063-473a-94de-53bcacdcc2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4F88E816C5BF43B64449DD81F7D0EE" ma:contentTypeVersion="6" ma:contentTypeDescription="Create a new document." ma:contentTypeScope="" ma:versionID="4f6e38e36d4de3d738759eba3ad020bd">
  <xsd:schema xmlns:xsd="http://www.w3.org/2001/XMLSchema" xmlns:xs="http://www.w3.org/2001/XMLSchema" xmlns:p="http://schemas.microsoft.com/office/2006/metadata/properties" xmlns:ns3="fe9a8cd2-3063-473a-94de-53bcacdcc20b" targetNamespace="http://schemas.microsoft.com/office/2006/metadata/properties" ma:root="true" ma:fieldsID="68b2af06bf4465668117861b51d487c3" ns3:_="">
    <xsd:import namespace="fe9a8cd2-3063-473a-94de-53bcacdcc2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a8cd2-3063-473a-94de-53bcacdcc2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5CA973-6BD7-401D-A9DE-8526999C24A2}"/>
</file>

<file path=customXml/itemProps2.xml><?xml version="1.0" encoding="utf-8"?>
<ds:datastoreItem xmlns:ds="http://schemas.openxmlformats.org/officeDocument/2006/customXml" ds:itemID="{E0FC7016-8300-47D0-909B-0C501D4B6D47}"/>
</file>

<file path=customXml/itemProps3.xml><?xml version="1.0" encoding="utf-8"?>
<ds:datastoreItem xmlns:ds="http://schemas.openxmlformats.org/officeDocument/2006/customXml" ds:itemID="{2968DEB5-553B-457D-B3BF-FAED40E0DA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TRR Workbook</dc:title>
  <dc:subject>Test Readiness Review Workbook</dc:subject>
  <dc:creator>Dr. Juan Pablo Giraldo</dc:creator>
  <cp:keywords/>
  <dc:description/>
  <cp:lastModifiedBy/>
  <cp:revision/>
  <dcterms:created xsi:type="dcterms:W3CDTF">2004-02-11T17:47:34Z</dcterms:created>
  <dcterms:modified xsi:type="dcterms:W3CDTF">2025-12-17T16:16:23Z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0x0101009A4F88E816C5BF43B64449DD81F7D0EE</vt:lpwstr>
  </property>
</Properties>
</file>